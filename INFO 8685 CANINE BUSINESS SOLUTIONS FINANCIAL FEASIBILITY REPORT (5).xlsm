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ma\Downloads\"/>
    </mc:Choice>
  </mc:AlternateContent>
  <xr:revisionPtr revIDLastSave="0" documentId="13_ncr:1_{879E6FF2-2C78-455A-A963-BFDCED9AA57E}" xr6:coauthVersionLast="47" xr6:coauthVersionMax="47" xr10:uidLastSave="{00000000-0000-0000-0000-000000000000}"/>
  <bookViews>
    <workbookView xWindow="-108" yWindow="-108" windowWidth="23256" windowHeight="12456" xr2:uid="{C315E0D3-8E84-4673-8DA7-AB983A55AD6F}"/>
  </bookViews>
  <sheets>
    <sheet name="Feasibilty Report" sheetId="2" r:id="rId1"/>
    <sheet name="CCA" sheetId="3" r:id="rId2"/>
    <sheet name="Revenu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4" l="1"/>
  <c r="J10" i="4"/>
  <c r="J11" i="4"/>
  <c r="I12" i="4"/>
  <c r="I11" i="4"/>
  <c r="I10" i="4"/>
  <c r="H32" i="4"/>
  <c r="H31" i="4"/>
  <c r="H34" i="4" s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B8" i="2"/>
  <c r="B19" i="2" s="1"/>
  <c r="G15" i="3"/>
  <c r="C14" i="3"/>
  <c r="D14" i="3"/>
  <c r="E14" i="3"/>
  <c r="F14" i="3"/>
  <c r="G14" i="3"/>
  <c r="H14" i="3"/>
  <c r="B14" i="3"/>
  <c r="I3" i="3"/>
  <c r="J5" i="3" s="1"/>
  <c r="J6" i="3" s="1"/>
  <c r="J7" i="3" s="1"/>
  <c r="J8" i="3" s="1"/>
  <c r="J9" i="3" s="1"/>
  <c r="J10" i="3" s="1"/>
  <c r="J11" i="3" s="1"/>
  <c r="J12" i="3" s="1"/>
  <c r="J13" i="3" s="1"/>
  <c r="I5" i="3"/>
  <c r="C5" i="3"/>
  <c r="C6" i="3" s="1"/>
  <c r="C7" i="3" s="1"/>
  <c r="C8" i="3" s="1"/>
  <c r="C9" i="3" s="1"/>
  <c r="C10" i="3" s="1"/>
  <c r="C11" i="3" s="1"/>
  <c r="C12" i="3" s="1"/>
  <c r="C13" i="3" s="1"/>
  <c r="D5" i="3"/>
  <c r="D6" i="3" s="1"/>
  <c r="D7" i="3" s="1"/>
  <c r="D8" i="3" s="1"/>
  <c r="D9" i="3" s="1"/>
  <c r="D10" i="3" s="1"/>
  <c r="D11" i="3" s="1"/>
  <c r="D12" i="3" s="1"/>
  <c r="D13" i="3" s="1"/>
  <c r="E5" i="3"/>
  <c r="E6" i="3" s="1"/>
  <c r="E7" i="3" s="1"/>
  <c r="E8" i="3" s="1"/>
  <c r="E9" i="3" s="1"/>
  <c r="E10" i="3" s="1"/>
  <c r="E11" i="3" s="1"/>
  <c r="E12" i="3" s="1"/>
  <c r="E13" i="3" s="1"/>
  <c r="F5" i="3"/>
  <c r="F6" i="3" s="1"/>
  <c r="F7" i="3" s="1"/>
  <c r="F8" i="3" s="1"/>
  <c r="F9" i="3" s="1"/>
  <c r="F10" i="3" s="1"/>
  <c r="F11" i="3" s="1"/>
  <c r="F12" i="3" s="1"/>
  <c r="F13" i="3" s="1"/>
  <c r="G5" i="3"/>
  <c r="G6" i="3" s="1"/>
  <c r="G7" i="3" s="1"/>
  <c r="G8" i="3" s="1"/>
  <c r="G9" i="3" s="1"/>
  <c r="G10" i="3" s="1"/>
  <c r="G11" i="3" s="1"/>
  <c r="G12" i="3" s="1"/>
  <c r="G13" i="3" s="1"/>
  <c r="H5" i="3"/>
  <c r="H6" i="3" s="1"/>
  <c r="H7" i="3" s="1"/>
  <c r="H8" i="3" s="1"/>
  <c r="H9" i="3" s="1"/>
  <c r="H10" i="3" s="1"/>
  <c r="H11" i="3" s="1"/>
  <c r="H12" i="3" s="1"/>
  <c r="H13" i="3" s="1"/>
  <c r="B5" i="3"/>
  <c r="C16" i="2"/>
  <c r="D16" i="2" s="1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O16" i="2" s="1"/>
  <c r="P16" i="2" s="1"/>
  <c r="Q16" i="2" s="1"/>
  <c r="R16" i="2" s="1"/>
  <c r="S16" i="2" s="1"/>
  <c r="T16" i="2" s="1"/>
  <c r="U16" i="2" s="1"/>
  <c r="C15" i="2"/>
  <c r="D15" i="2" s="1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O15" i="2" s="1"/>
  <c r="P15" i="2" s="1"/>
  <c r="Q15" i="2" s="1"/>
  <c r="R15" i="2" s="1"/>
  <c r="S15" i="2" s="1"/>
  <c r="T15" i="2" s="1"/>
  <c r="U15" i="2" s="1"/>
  <c r="C14" i="2"/>
  <c r="D14" i="2" s="1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C12" i="2"/>
  <c r="D12" i="2" s="1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C10" i="2"/>
  <c r="D10" i="2" s="1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C9" i="2"/>
  <c r="D9" i="2" s="1"/>
  <c r="E9" i="2" s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F15" i="3" l="1"/>
  <c r="F16" i="3"/>
  <c r="F17" i="3" s="1"/>
  <c r="F18" i="3" s="1"/>
  <c r="F19" i="3" s="1"/>
  <c r="F20" i="3" s="1"/>
  <c r="F21" i="3" s="1"/>
  <c r="F22" i="3" s="1"/>
  <c r="F23" i="3" s="1"/>
  <c r="F24" i="3" s="1"/>
  <c r="F25" i="3" s="1"/>
  <c r="D15" i="3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C15" i="3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H16" i="3"/>
  <c r="H17" i="3" s="1"/>
  <c r="H18" i="3" s="1"/>
  <c r="H19" i="3" s="1"/>
  <c r="H20" i="3" s="1"/>
  <c r="H21" i="3" s="1"/>
  <c r="H22" i="3" s="1"/>
  <c r="H23" i="3" s="1"/>
  <c r="H24" i="3" s="1"/>
  <c r="H25" i="3" s="1"/>
  <c r="E15" i="3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G16" i="3"/>
  <c r="G17" i="3" s="1"/>
  <c r="G18" i="3" s="1"/>
  <c r="G19" i="3" s="1"/>
  <c r="G20" i="3" s="1"/>
  <c r="G21" i="3" s="1"/>
  <c r="G22" i="3" s="1"/>
  <c r="G23" i="3" s="1"/>
  <c r="G24" i="3" s="1"/>
  <c r="G25" i="3" s="1"/>
  <c r="I14" i="3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H15" i="3"/>
  <c r="B3" i="4"/>
  <c r="E3" i="4" s="1"/>
  <c r="B5" i="2" s="1"/>
  <c r="B21" i="2" s="1"/>
  <c r="I6" i="3"/>
  <c r="C8" i="2" s="1"/>
  <c r="C19" i="2" s="1"/>
  <c r="B6" i="3"/>
  <c r="B4" i="4" l="1"/>
  <c r="E4" i="4" s="1"/>
  <c r="C5" i="2" s="1"/>
  <c r="I7" i="3"/>
  <c r="D8" i="2" s="1"/>
  <c r="D19" i="2" s="1"/>
  <c r="B7" i="3"/>
  <c r="B23" i="2"/>
  <c r="B24" i="2" s="1"/>
  <c r="B5" i="4" l="1"/>
  <c r="E5" i="4" s="1"/>
  <c r="D5" i="2" s="1"/>
  <c r="I8" i="3"/>
  <c r="E8" i="2" s="1"/>
  <c r="E19" i="2" s="1"/>
  <c r="B8" i="3"/>
  <c r="B6" i="4" l="1"/>
  <c r="B7" i="4"/>
  <c r="E6" i="4"/>
  <c r="E5" i="2" s="1"/>
  <c r="I9" i="3"/>
  <c r="F8" i="2" s="1"/>
  <c r="F19" i="2" s="1"/>
  <c r="B9" i="3"/>
  <c r="B8" i="4" l="1"/>
  <c r="E7" i="4"/>
  <c r="F5" i="2" s="1"/>
  <c r="I10" i="3"/>
  <c r="G8" i="2" s="1"/>
  <c r="G19" i="2" s="1"/>
  <c r="B10" i="3"/>
  <c r="E8" i="4" l="1"/>
  <c r="G5" i="2" s="1"/>
  <c r="B9" i="4"/>
  <c r="B11" i="3"/>
  <c r="I11" i="3"/>
  <c r="H8" i="2" s="1"/>
  <c r="H19" i="2" s="1"/>
  <c r="B10" i="4" l="1"/>
  <c r="E9" i="4"/>
  <c r="H5" i="2" s="1"/>
  <c r="B12" i="3"/>
  <c r="I12" i="3"/>
  <c r="I8" i="2" s="1"/>
  <c r="I19" i="2" s="1"/>
  <c r="B11" i="4" l="1"/>
  <c r="E10" i="4"/>
  <c r="I5" i="2" s="1"/>
  <c r="B13" i="3"/>
  <c r="I13" i="3"/>
  <c r="J8" i="2" s="1"/>
  <c r="J19" i="2" s="1"/>
  <c r="B15" i="3" l="1"/>
  <c r="I15" i="3"/>
  <c r="K8" i="2" s="1"/>
  <c r="K19" i="2" s="1"/>
  <c r="B12" i="4"/>
  <c r="E11" i="4"/>
  <c r="J5" i="2" s="1"/>
  <c r="I16" i="3"/>
  <c r="L8" i="2" s="1"/>
  <c r="L19" i="2" s="1"/>
  <c r="B16" i="3"/>
  <c r="B13" i="4" l="1"/>
  <c r="E12" i="4"/>
  <c r="K5" i="2" s="1"/>
  <c r="B17" i="3"/>
  <c r="I17" i="3"/>
  <c r="M8" i="2" s="1"/>
  <c r="M19" i="2" s="1"/>
  <c r="B14" i="4" l="1"/>
  <c r="E13" i="4"/>
  <c r="L5" i="2" s="1"/>
  <c r="B18" i="3"/>
  <c r="I18" i="3"/>
  <c r="N8" i="2" s="1"/>
  <c r="N19" i="2" s="1"/>
  <c r="E14" i="4" l="1"/>
  <c r="M5" i="2" s="1"/>
  <c r="B15" i="4"/>
  <c r="B19" i="3"/>
  <c r="I19" i="3"/>
  <c r="O8" i="2" s="1"/>
  <c r="O19" i="2" s="1"/>
  <c r="B16" i="4" l="1"/>
  <c r="E15" i="4"/>
  <c r="N5" i="2" s="1"/>
  <c r="B20" i="3"/>
  <c r="I20" i="3"/>
  <c r="P8" i="2" s="1"/>
  <c r="P19" i="2" s="1"/>
  <c r="B17" i="4" l="1"/>
  <c r="E16" i="4"/>
  <c r="O5" i="2" s="1"/>
  <c r="B21" i="3"/>
  <c r="I21" i="3"/>
  <c r="Q8" i="2" s="1"/>
  <c r="Q19" i="2" s="1"/>
  <c r="B18" i="4" l="1"/>
  <c r="E17" i="4"/>
  <c r="P5" i="2" s="1"/>
  <c r="B22" i="3"/>
  <c r="I22" i="3"/>
  <c r="R8" i="2" s="1"/>
  <c r="R19" i="2" s="1"/>
  <c r="B19" i="4" l="1"/>
  <c r="E18" i="4"/>
  <c r="Q5" i="2" s="1"/>
  <c r="B23" i="3"/>
  <c r="I23" i="3"/>
  <c r="S8" i="2" s="1"/>
  <c r="S19" i="2" s="1"/>
  <c r="B20" i="4" l="1"/>
  <c r="E19" i="4"/>
  <c r="R5" i="2" s="1"/>
  <c r="B24" i="3"/>
  <c r="I24" i="3"/>
  <c r="T8" i="2" s="1"/>
  <c r="T19" i="2" s="1"/>
  <c r="E20" i="4" l="1"/>
  <c r="S5" i="2" s="1"/>
  <c r="B21" i="4"/>
  <c r="B25" i="3"/>
  <c r="I25" i="3"/>
  <c r="U8" i="2" s="1"/>
  <c r="U19" i="2" s="1"/>
  <c r="B22" i="4" l="1"/>
  <c r="E22" i="4" s="1"/>
  <c r="U5" i="2" s="1"/>
  <c r="E21" i="4"/>
  <c r="T5" i="2" s="1"/>
  <c r="C21" i="2"/>
  <c r="C23" i="2" l="1"/>
  <c r="C24" i="2" s="1"/>
  <c r="D21" i="2"/>
  <c r="D22" i="2" s="1"/>
  <c r="D23" i="2" l="1"/>
  <c r="D24" i="2" s="1"/>
  <c r="E21" i="2"/>
  <c r="E22" i="2" s="1"/>
  <c r="E23" i="2" l="1"/>
  <c r="E24" i="2" s="1"/>
  <c r="F21" i="2"/>
  <c r="F22" i="2" s="1"/>
  <c r="F23" i="2" l="1"/>
  <c r="F24" i="2" s="1"/>
  <c r="G21" i="2" l="1"/>
  <c r="G22" i="2" s="1"/>
  <c r="H21" i="2" l="1"/>
  <c r="H22" i="2" s="1"/>
  <c r="G23" i="2"/>
  <c r="G24" i="2" s="1"/>
  <c r="I21" i="2" l="1"/>
  <c r="I22" i="2" s="1"/>
  <c r="H23" i="2"/>
  <c r="H24" i="2" s="1"/>
  <c r="J21" i="2" l="1"/>
  <c r="J22" i="2" s="1"/>
  <c r="I23" i="2"/>
  <c r="I24" i="2" s="1"/>
  <c r="J23" i="2" l="1"/>
  <c r="J24" i="2" s="1"/>
  <c r="K21" i="2" l="1"/>
  <c r="K22" i="2" s="1"/>
  <c r="L21" i="2"/>
  <c r="L22" i="2" s="1"/>
  <c r="K23" i="2" l="1"/>
  <c r="K24" i="2" s="1"/>
  <c r="L23" i="2"/>
  <c r="L24" i="2" s="1"/>
  <c r="M21" i="2"/>
  <c r="M22" i="2" s="1"/>
  <c r="M23" i="2" l="1"/>
  <c r="M24" i="2" s="1"/>
  <c r="N21" i="2"/>
  <c r="N22" i="2" s="1"/>
  <c r="N23" i="2" l="1"/>
  <c r="N24" i="2" s="1"/>
  <c r="O21" i="2"/>
  <c r="O22" i="2" s="1"/>
  <c r="O23" i="2" l="1"/>
  <c r="O24" i="2" s="1"/>
  <c r="P21" i="2"/>
  <c r="P22" i="2" s="1"/>
  <c r="P23" i="2" l="1"/>
  <c r="P24" i="2" s="1"/>
  <c r="Q21" i="2" l="1"/>
  <c r="R21" i="2"/>
  <c r="R22" i="2" s="1"/>
  <c r="Q22" i="2" l="1"/>
  <c r="Q23" i="2" s="1"/>
  <c r="Q24" i="2" s="1"/>
  <c r="R23" i="2"/>
  <c r="R24" i="2" s="1"/>
  <c r="S21" i="2"/>
  <c r="S22" i="2" s="1"/>
  <c r="T21" i="2" l="1"/>
  <c r="T22" i="2" s="1"/>
  <c r="S23" i="2"/>
  <c r="S24" i="2" s="1"/>
  <c r="T23" i="2" l="1"/>
  <c r="T24" i="2" s="1"/>
  <c r="U21" i="2"/>
  <c r="U22" i="2" s="1"/>
  <c r="U23" i="2" l="1"/>
  <c r="U24" i="2" s="1"/>
</calcChain>
</file>

<file path=xl/sharedStrings.xml><?xml version="1.0" encoding="utf-8"?>
<sst xmlns="http://schemas.openxmlformats.org/spreadsheetml/2006/main" count="157" uniqueCount="85">
  <si>
    <t>Financial Feasibility analysis- OpenText Integra</t>
  </si>
  <si>
    <t>Training costs</t>
  </si>
  <si>
    <t>IT Personnel</t>
  </si>
  <si>
    <t>Cloud Infrastructure Costs</t>
  </si>
  <si>
    <t>Subscriptions/License</t>
  </si>
  <si>
    <t>Customer Support</t>
  </si>
  <si>
    <t>Expenses</t>
  </si>
  <si>
    <t>Gross Profit</t>
  </si>
  <si>
    <t>Net Profit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</si>
  <si>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</si>
  <si>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</si>
  <si>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</si>
  <si>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</si>
  <si>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</si>
  <si>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</si>
  <si>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</si>
  <si>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</si>
  <si>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</si>
  <si>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</si>
  <si>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</si>
  <si>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</si>
  <si>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</si>
  <si>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</si>
  <si>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</si>
  <si>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</si>
  <si>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</si>
  <si>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</si>
  <si>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</si>
  <si>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</si>
  <si>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ROI</t>
  </si>
  <si>
    <t>Consultant Fees</t>
  </si>
  <si>
    <t>-</t>
  </si>
  <si>
    <t>Third-party Software licenses</t>
  </si>
  <si>
    <t>Development &amp; Customization</t>
  </si>
  <si>
    <t>Integration</t>
  </si>
  <si>
    <t>Training &amp; Documentation</t>
  </si>
  <si>
    <t>Initial Development</t>
  </si>
  <si>
    <t>Maintenance &amp; Support</t>
  </si>
  <si>
    <t>Personnel</t>
  </si>
  <si>
    <t>Support Staff</t>
  </si>
  <si>
    <t>Utilities &amp; Infrastructure</t>
  </si>
  <si>
    <t>Licensing &amp; Compliance</t>
  </si>
  <si>
    <t>Marketing &amp; Advertising</t>
  </si>
  <si>
    <t>Total Expenses</t>
  </si>
  <si>
    <t>Revenue</t>
  </si>
  <si>
    <t>Income Tax @ 25.13%</t>
  </si>
  <si>
    <t>Total</t>
  </si>
  <si>
    <t>Total Cost</t>
  </si>
  <si>
    <t>Total CCA Allowance</t>
  </si>
  <si>
    <t>Additional Investment</t>
  </si>
  <si>
    <t>Depreciated Cost</t>
  </si>
  <si>
    <t>Server H/W &amp; S/W</t>
  </si>
  <si>
    <t>Network H/W &amp; S/W</t>
  </si>
  <si>
    <t>Security &amp; Compliance</t>
  </si>
  <si>
    <t>Total Capital cost = Infrastructure Cost + Development cost.</t>
  </si>
  <si>
    <t>Revenue Breakdown</t>
  </si>
  <si>
    <t>*all values are in thousands of Canadian dollars</t>
  </si>
  <si>
    <t>10 Mid size customers with 100 plus employees</t>
  </si>
  <si>
    <t>Our intention is to acquire 2 large size customers with 1000 plus employees</t>
  </si>
  <si>
    <t>30 Small size customers with 25 plus employees</t>
  </si>
  <si>
    <t>Employees</t>
  </si>
  <si>
    <t>*Projection for initial customer acquisition</t>
  </si>
  <si>
    <t>Indirect Revenue</t>
  </si>
  <si>
    <t>Number of Clients</t>
  </si>
  <si>
    <t xml:space="preserve"> </t>
  </si>
  <si>
    <t>Cost per user(yearly)</t>
  </si>
  <si>
    <t>CCA (Class 10 @ 30%)</t>
  </si>
  <si>
    <t>Customization &amp; Consulting</t>
  </si>
  <si>
    <t>Advertising</t>
  </si>
  <si>
    <t>White-labeling</t>
  </si>
  <si>
    <t>*Indirect revenues</t>
  </si>
  <si>
    <t>*Projected growth in revenue from subscriptions and licensing till year 10 = 7%, growth after year 10 = 5%</t>
  </si>
  <si>
    <t>*Projected growth in revenue from customer support and indirect sources = 2.5%</t>
  </si>
  <si>
    <t>*Customer Support will be given as a free trial for year 1.</t>
  </si>
  <si>
    <t>Customer Support Revenue</t>
  </si>
  <si>
    <t>Subscription Revenue</t>
  </si>
  <si>
    <t>Subscription Type</t>
  </si>
  <si>
    <t>License for 25 users</t>
  </si>
  <si>
    <t>License for 100 users</t>
  </si>
  <si>
    <t>License for 1000 users</t>
  </si>
  <si>
    <t>License for 1000+ users</t>
  </si>
  <si>
    <t>Pricing</t>
  </si>
  <si>
    <t>Customer Support(Yearly)</t>
  </si>
  <si>
    <t>*In Year 10, an additional investment equivalent to 20% of the initial investment will be made</t>
  </si>
  <si>
    <t>Depreciated Capital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</si>
</sst>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(&quot;$&quot;* #,##0_);_(&quot;$&quot;* \(#,##0\);_(&quot;$&quot;* &quot;-&quot;?_);_(@_)"/>
    <numFmt numFmtId="167" formatCode="&quot;$&quot;#,##0,&quot;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9">
    <xf numFmtId="0" fontId="0" fillId="0" borderId="0" xfId="0"/>
    <xf numFmtId="165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3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left"/>
    </xf>
    <xf numFmtId="0" fontId="5" fillId="5" borderId="0" xfId="0" applyFont="1" applyFill="1"/>
    <xf numFmtId="165" fontId="5" fillId="5" borderId="8" xfId="1" applyNumberFormat="1" applyFont="1" applyFill="1" applyBorder="1"/>
    <xf numFmtId="165" fontId="5" fillId="5" borderId="0" xfId="0" applyNumberFormat="1" applyFont="1" applyFill="1"/>
    <xf numFmtId="0" fontId="1" fillId="3" borderId="8" xfId="0" applyFont="1" applyFill="1" applyBorder="1" applyAlignment="1">
      <alignment horizontal="center"/>
    </xf>
    <xf numFmtId="165" fontId="5" fillId="5" borderId="1" xfId="1" applyNumberFormat="1" applyFont="1" applyFill="1" applyBorder="1"/>
    <xf numFmtId="0" fontId="5" fillId="5" borderId="1" xfId="0" applyFont="1" applyFill="1" applyBorder="1"/>
    <xf numFmtId="165" fontId="5" fillId="5" borderId="1" xfId="0" applyNumberFormat="1" applyFont="1" applyFill="1" applyBorder="1"/>
    <xf numFmtId="1" fontId="0" fillId="0" borderId="0" xfId="0" applyNumberFormat="1"/>
    <xf numFmtId="0" fontId="0" fillId="4" borderId="0" xfId="0" applyFill="1"/>
    <xf numFmtId="0" fontId="1" fillId="0" borderId="0" xfId="0" applyFont="1" applyAlignment="1">
      <alignment horizontal="left"/>
    </xf>
    <xf numFmtId="0" fontId="0" fillId="0" borderId="0" xfId="1" applyNumberFormat="1" applyFont="1" applyBorder="1"/>
    <xf numFmtId="165" fontId="0" fillId="0" borderId="0" xfId="1" applyNumberFormat="1" applyFont="1" applyBorder="1" applyAlignment="1">
      <alignment horizontal="center"/>
    </xf>
    <xf numFmtId="165" fontId="0" fillId="0" borderId="0" xfId="1" applyNumberFormat="1" applyFont="1" applyBorder="1"/>
    <xf numFmtId="0" fontId="1" fillId="2" borderId="0" xfId="0" applyFont="1" applyFill="1" applyAlignment="1">
      <alignment horizontal="left" indent="1"/>
    </xf>
    <xf numFmtId="167" fontId="0" fillId="2" borderId="0" xfId="1" applyNumberFormat="1" applyFont="1" applyFill="1" applyBorder="1"/>
    <xf numFmtId="167" fontId="0" fillId="2" borderId="0" xfId="0" applyNumberFormat="1" applyFill="1"/>
    <xf numFmtId="0" fontId="0" fillId="2" borderId="0" xfId="0" applyFill="1" applyAlignment="1">
      <alignment horizontal="left" indent="2"/>
    </xf>
    <xf numFmtId="167" fontId="0" fillId="2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167" fontId="0" fillId="0" borderId="0" xfId="0" applyNumberFormat="1"/>
    <xf numFmtId="167" fontId="0" fillId="0" borderId="0" xfId="1" applyNumberFormat="1" applyFont="1" applyBorder="1"/>
    <xf numFmtId="9" fontId="0" fillId="0" borderId="0" xfId="2" applyFont="1" applyBorder="1"/>
    <xf numFmtId="0" fontId="5" fillId="0" borderId="0" xfId="0" applyFont="1"/>
    <xf numFmtId="0" fontId="6" fillId="0" borderId="0" xfId="0" applyFont="1"/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1" applyFont="1"/>
    <xf numFmtId="1" fontId="0" fillId="0" borderId="0" xfId="1" applyNumberFormat="1" applyFont="1"/>
    <xf numFmtId="0" fontId="1" fillId="7" borderId="0" xfId="0" applyFont="1" applyFill="1" applyAlignment="1">
      <alignment horizontal="left"/>
    </xf>
    <xf numFmtId="167" fontId="0" fillId="7" borderId="0" xfId="1" applyNumberFormat="1" applyFont="1" applyFill="1" applyBorder="1"/>
    <xf numFmtId="0" fontId="1" fillId="2" borderId="0" xfId="0" applyFont="1" applyFill="1" applyAlignment="1">
      <alignment horizontal="left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9">
    <dxf>
      <numFmt numFmtId="165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65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25</xdr:row>
      <xdr:rowOff>15240</xdr:rowOff>
    </xdr:from>
    <xdr:ext cx="7193280" cy="240792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EC6BB9-67C8-F858-ABA9-967039DB9F9E}"/>
            </a:ext>
          </a:extLst>
        </xdr:cNvPr>
        <xdr:cNvSpPr txBox="1"/>
      </xdr:nvSpPr>
      <xdr:spPr>
        <a:xfrm>
          <a:off x="0" y="4770120"/>
          <a:ext cx="7193280" cy="240792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Income Tax rate is calculated using the average of income tax rates paid by OpenText corporation in the last 5 years.</a:t>
          </a:r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en-US"/>
            <a:t>   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Tax Rate</a:t>
          </a:r>
          <a:endParaRPr lang="en-US"/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2022</a:t>
          </a:r>
          <a:r>
            <a:rPr lang="en-US"/>
            <a:t>   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11.68%</a:t>
          </a:r>
          <a:endParaRPr lang="en-US"/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2021</a:t>
          </a:r>
          <a:r>
            <a:rPr lang="en-US"/>
            <a:t>   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20.03%</a:t>
          </a:r>
          <a:endParaRPr lang="en-US"/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2020</a:t>
          </a:r>
          <a:r>
            <a:rPr lang="en-US"/>
            <a:t>   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27.38%</a:t>
          </a:r>
          <a:endParaRPr lang="en-US"/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2019</a:t>
          </a:r>
          <a:r>
            <a:rPr lang="en-US"/>
            <a:t>   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32.20%</a:t>
          </a:r>
          <a:endParaRPr lang="en-US"/>
        </a:p>
        <a:p>
          <a:pPr lvl="1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2018</a:t>
          </a:r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34.36%</a:t>
          </a:r>
          <a:r>
            <a:rPr lang="en-US"/>
            <a:t> </a:t>
          </a:r>
        </a:p>
        <a:p>
          <a:pPr lvl="1"/>
          <a:endParaRPr lang="en-US" sz="1100"/>
        </a:p>
        <a:p>
          <a:pPr lvl="1"/>
          <a:r>
            <a:rPr lang="en-US" sz="1100"/>
            <a:t>Average Tax rate = 25.13%</a:t>
          </a:r>
        </a:p>
        <a:p>
          <a:endParaRPr lang="en-US" sz="1100"/>
        </a:p>
        <a:p>
          <a:r>
            <a:rPr lang="en-US" sz="1100" b="1"/>
            <a:t>*Assumptions</a:t>
          </a:r>
        </a:p>
        <a:p>
          <a:r>
            <a:rPr lang="en-US" sz="1100" baseline="0"/>
            <a:t>Expenditure on staff and consultation fees will increase at the rate of 5%/year.</a:t>
          </a:r>
        </a:p>
        <a:p>
          <a:r>
            <a:rPr lang="en-US" sz="1100" baseline="0"/>
            <a:t>Expenditure on maintenance and compliance will increase at the rate of 2%/year.</a:t>
          </a:r>
        </a:p>
        <a:p>
          <a:endParaRPr lang="en-US" sz="1100" baseline="0"/>
        </a:p>
      </xdr:txBody>
    </xdr:sp>
    <xdr:clientData/>
  </xdr:oneCellAnchor>
  <xdr:twoCellAnchor>
    <xdr:from>
      <xdr:col>0</xdr:col>
      <xdr:colOff>0</xdr:colOff>
      <xdr:row>0</xdr:row>
      <xdr:rowOff>7620</xdr:rowOff>
    </xdr:from>
    <xdr:to>
      <xdr:col>0</xdr:col>
      <xdr:colOff>632460</xdr:colOff>
      <xdr:row>0</xdr:row>
      <xdr:rowOff>266700</xdr:rowOff>
    </xdr:to>
    <xdr:sp macro="[0]!ThisWorkbook.columnautofit" textlink="">
      <xdr:nvSpPr>
        <xdr:cNvPr id="3" name="Rectangle 2">
          <a:extLst>
            <a:ext uri="{FF2B5EF4-FFF2-40B4-BE49-F238E27FC236}">
              <a16:creationId xmlns:a16="http://schemas.microsoft.com/office/drawing/2014/main" id="{1779739A-7F00-2861-CD4D-1C6BD1A59226}"/>
            </a:ext>
          </a:extLst>
        </xdr:cNvPr>
        <xdr:cNvSpPr/>
      </xdr:nvSpPr>
      <xdr:spPr>
        <a:xfrm>
          <a:off x="0" y="7620"/>
          <a:ext cx="632460" cy="259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Autofit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A3D90-8D66-4C56-AE8B-D1FA7CC8018A}" name="Revenue" displayName="Revenue" ref="A2:E22" totalsRowShown="0">
  <autoFilter ref="A2:E22" xr:uid="{B86A3D90-8D66-4C56-AE8B-D1FA7CC8018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707FA4-0E08-47A2-8B8D-74A22CC7BB62}" name=" "/>
    <tableColumn id="2" xr3:uid="{772F9A98-02E6-4B6A-8991-E2893E5C3705}" name="Subscriptions/License" dataDxfId="8" dataCellStyle="Currency">
      <calculatedColumnFormula>B2+(0.05*B2)</calculatedColumnFormula>
    </tableColumn>
    <tableColumn id="3" xr3:uid="{1CA1049C-81B1-48FD-BD69-9EDF14C97AF8}" name="Customer Support" dataDxfId="7" dataCellStyle="Currency">
      <calculatedColumnFormula>C2+(0.025*C2)</calculatedColumnFormula>
    </tableColumn>
    <tableColumn id="4" xr3:uid="{6F700F19-A040-457E-8DCB-270F43B7C72D}" name="*Indirect revenues" dataDxfId="6" dataCellStyle="Currency">
      <calculatedColumnFormula>D2+(0.025*D2)</calculatedColumnFormula>
    </tableColumn>
    <tableColumn id="5" xr3:uid="{CCCDC2A8-9D51-45FB-BA7D-04E0C4B85954}" name="Total" dataDxfId="5" dataCellStyle="Currency">
      <calculatedColumnFormula>SUM(B3:D3)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6AFF18-2058-4012-AE39-6D7731039197}" name="Table3" displayName="Table3" ref="G2:I6" totalsRowShown="0">
  <autoFilter ref="G2:I6" xr:uid="{F26AFF18-2058-4012-AE39-6D7731039197}">
    <filterColumn colId="0" hiddenButton="1"/>
    <filterColumn colId="1" hiddenButton="1"/>
    <filterColumn colId="2" hiddenButton="1"/>
  </autoFilter>
  <tableColumns count="3">
    <tableColumn id="1" xr3:uid="{1B124409-E215-4913-985F-335372268FD3}" name="Subscription Type"/>
    <tableColumn id="2" xr3:uid="{67CB9ECF-F7C6-4BAC-9386-19F68489159C}" name="Cost per user(yearly)" dataDxfId="4" dataCellStyle="Currency"/>
    <tableColumn id="3" xr3:uid="{7B69F0FB-0552-4E84-B18E-57ABB9C789AD}" name="Customer Support(Yearly)" dataDxfId="3" dataCellStyle="Currency"/>
  </tableColumns>
  <tableStyleInfo name="TableStyleMedium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646849-E962-415D-80FE-C369086BE110}" name="Table4" displayName="Table4" ref="G9:J12" totalsRowShown="0">
  <tableColumns count="4">
    <tableColumn id="1" xr3:uid="{F9BD50E2-0A61-40DE-BBCB-D80584458193}" name="Number of Clients" dataDxfId="2" dataCellStyle="Currency"/>
    <tableColumn id="2" xr3:uid="{F886DC7C-BD80-4531-9599-140DD0A0CB9A}" name="Employees"/>
    <tableColumn id="3" xr3:uid="{F651A2B9-CFDC-4287-BE1D-A7A1110D1072}" name="Subscription Revenue" dataDxfId="1" dataCellStyle="Currency"/>
    <tableColumn id="4" xr3:uid="{88BB08B7-1598-46BF-9F4B-1C40E6F88BF6}" name="Customer Support Revenue" dataDxfId="0">
      <calculatedColumnFormula>Table4[[#This Row],[Number of Clients]]*I3</calculatedColumnFormula>
    </tableColumn>
  </tableColumns>
  <tableStyleInfo name="TableStyleMedium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D03A29-57AF-48A1-AEEE-289E5BF04C22}" name="Table1" displayName="Table1" ref="G14:G17" totalsRowShown="0">
  <autoFilter ref="G14:G17" xr:uid="{4FD03A29-57AF-48A1-AEEE-289E5BF04C22}">
    <filterColumn colId="0" hiddenButton="1"/>
  </autoFilter>
  <tableColumns count="1">
    <tableColumn id="1" xr3:uid="{9B523B7A-7F81-4989-9D88-19768A752946}" name="Indirect Reven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4D1D6-2CCB-449A-A231-0BAA164F6D2B}">
  <sheetPr codeName="Sheet2"/>
  <dimension ref="A1:U27"/>
  <sheetViews>
    <sheetView tabSelected="1" zoomScaleNormal="100" workbookViewId="0">
      <selection activeCell="A8" sqref="A8"/>
    </sheetView>
  </sheetViews>
  <sheetFormatPr defaultRowHeight="14.4" x14ac:dyDescent="0.3"/>
  <cols>
    <col min="1" max="1" width="23.109375" bestFit="1" customWidth="1"/>
    <col min="2" max="21" width="7.44140625" bestFit="1" customWidth="1"/>
  </cols>
  <sheetData>
    <row r="1" spans="1:21" ht="28.8" customHeight="1" x14ac:dyDescent="0.3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1" x14ac:dyDescent="0.3">
      <c r="A2" s="31" t="s">
        <v>56</v>
      </c>
    </row>
    <row r="4" spans="1:21" x14ac:dyDescent="0.3">
      <c r="B4" s="16" t="s">
        <v>9</v>
      </c>
      <c r="C4" s="16" t="s">
        <v>10</v>
      </c>
      <c r="D4" s="16" t="s">
        <v>11</v>
      </c>
      <c r="E4" s="16" t="s">
        <v>12</v>
      </c>
      <c r="F4" s="16" t="s">
        <v>13</v>
      </c>
      <c r="G4" s="16" t="s">
        <v>14</v>
      </c>
      <c r="H4" s="16" t="s">
        <v>15</v>
      </c>
      <c r="I4" s="16" t="s">
        <v>16</v>
      </c>
      <c r="J4" s="16" t="s">
        <v>17</v>
      </c>
      <c r="K4" s="16" t="s">
        <v>18</v>
      </c>
      <c r="L4" s="16" t="s">
        <v>19</v>
      </c>
      <c r="M4" s="16" t="s">
        <v>20</v>
      </c>
      <c r="N4" s="16" t="s">
        <v>21</v>
      </c>
      <c r="O4" s="16" t="s">
        <v>22</v>
      </c>
      <c r="P4" s="16" t="s">
        <v>23</v>
      </c>
      <c r="Q4" s="16" t="s">
        <v>24</v>
      </c>
      <c r="R4" s="16" t="s">
        <v>25</v>
      </c>
      <c r="S4" s="16" t="s">
        <v>26</v>
      </c>
      <c r="T4" s="16" t="s">
        <v>27</v>
      </c>
      <c r="U4" s="16" t="s">
        <v>28</v>
      </c>
    </row>
    <row r="5" spans="1:21" x14ac:dyDescent="0.3">
      <c r="A5" s="36" t="s">
        <v>44</v>
      </c>
      <c r="B5" s="37">
        <f>VLOOKUP(B4,Revenue[#All],5,FALSE)</f>
        <v>1700000</v>
      </c>
      <c r="C5" s="37">
        <f>VLOOKUP(C4,Revenue[#All],5,FALSE)</f>
        <v>2110000</v>
      </c>
      <c r="D5" s="37">
        <f>VLOOKUP(D4,Revenue[#All],5,FALSE)</f>
        <v>2234975</v>
      </c>
      <c r="E5" s="37">
        <f>VLOOKUP(E4,Revenue[#All],5,FALSE)</f>
        <v>2368130.125</v>
      </c>
      <c r="F5" s="37">
        <f>VLOOKUP(F4,Revenue[#All],5,FALSE)</f>
        <v>2510023.7806250001</v>
      </c>
      <c r="G5" s="37">
        <f>VLOOKUP(G4,Revenue[#All],5,FALSE)</f>
        <v>2661253.1058156253</v>
      </c>
      <c r="H5" s="37">
        <f>VLOOKUP(H4,Revenue[#All],5,FALSE)</f>
        <v>2822456.6752832662</v>
      </c>
      <c r="I5" s="37">
        <f>VLOOKUP(I4,Revenue[#All],5,FALSE)</f>
        <v>2994317.3909151554</v>
      </c>
      <c r="J5" s="37">
        <f>VLOOKUP(J4,Revenue[#All],5,FALSE)</f>
        <v>3177565.5753503283</v>
      </c>
      <c r="K5" s="37">
        <f>VLOOKUP(K4,Revenue[#All],5,FALSE)</f>
        <v>3372982.2818727414</v>
      </c>
      <c r="L5" s="37">
        <f>VLOOKUP(L4,Revenue[#All],5,FALSE)</f>
        <v>3526249.0593853155</v>
      </c>
      <c r="M5" s="37">
        <f>VLOOKUP(M4,Revenue[#All],5,FALSE)</f>
        <v>3686794.6173589919</v>
      </c>
      <c r="N5" s="37">
        <f>VLOOKUP(N4,Revenue[#All],5,FALSE)</f>
        <v>3854973.2808564622</v>
      </c>
      <c r="O5" s="37">
        <f>VLOOKUP(O4,Revenue[#All],5,FALSE)</f>
        <v>4031156.8508445448</v>
      </c>
      <c r="P5" s="37">
        <f>VLOOKUP(P4,Revenue[#All],5,FALSE)</f>
        <v>4215735.4719806621</v>
      </c>
      <c r="Q5" s="37">
        <f>VLOOKUP(Q4,Revenue[#All],5,FALSE)</f>
        <v>4409118.5436384333</v>
      </c>
      <c r="R5" s="37">
        <f>VLOOKUP(R4,Revenue[#All],5,FALSE)</f>
        <v>4611735.6763305608</v>
      </c>
      <c r="S5" s="37">
        <f>VLOOKUP(S4,Revenue[#All],5,FALSE)</f>
        <v>4824037.6957950508</v>
      </c>
      <c r="T5" s="37">
        <f>VLOOKUP(T4,Revenue[#All],5,FALSE)</f>
        <v>5046497.6971239634</v>
      </c>
      <c r="U5" s="37">
        <f>VLOOKUP(U4,Revenue[#All],5,FALSE)</f>
        <v>5279612.151432801</v>
      </c>
    </row>
    <row r="7" spans="1:21" x14ac:dyDescent="0.3">
      <c r="A7" s="38" t="s">
        <v>6</v>
      </c>
      <c r="B7" s="18"/>
      <c r="C7" s="19"/>
      <c r="D7" s="19"/>
      <c r="E7" s="19"/>
      <c r="F7" s="19"/>
      <c r="G7" s="19"/>
      <c r="H7" s="19"/>
      <c r="I7" s="19"/>
      <c r="J7" s="19"/>
      <c r="K7" s="20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3">
      <c r="A8" s="21" t="s">
        <v>84</v>
      </c>
      <c r="B8" s="22">
        <f>VLOOKUP(B4,CCA!$A$5:$J$25,9,FALSE)</f>
        <v>600000</v>
      </c>
      <c r="C8" s="22">
        <f>VLOOKUP(C4,CCA!$A$5:$J$25,9,FALSE)</f>
        <v>420000</v>
      </c>
      <c r="D8" s="22">
        <f>VLOOKUP(D4,CCA!$A$5:$J$25,9,FALSE)</f>
        <v>294000</v>
      </c>
      <c r="E8" s="22">
        <f>VLOOKUP(E4,CCA!$A$5:$J$25,9,FALSE)</f>
        <v>205800</v>
      </c>
      <c r="F8" s="22">
        <f>VLOOKUP(F4,CCA!$A$5:$J$25,9,FALSE)</f>
        <v>144060</v>
      </c>
      <c r="G8" s="22">
        <f>VLOOKUP(G4,CCA!$A$5:$J$25,9,FALSE)</f>
        <v>100842</v>
      </c>
      <c r="H8" s="22">
        <f>VLOOKUP(H4,CCA!$A$5:$J$25,9,FALSE)</f>
        <v>70589.399999999994</v>
      </c>
      <c r="I8" s="22">
        <f>VLOOKUP(I4,CCA!$A$5:$J$25,9,FALSE)</f>
        <v>49412.579999999994</v>
      </c>
      <c r="J8" s="22">
        <f>VLOOKUP(J4,CCA!$A$5:$J$25,9,FALSE)</f>
        <v>34588.806000000004</v>
      </c>
      <c r="K8" s="22">
        <f>VLOOKUP(K4,CCA!$A$5:$J$25,9,FALSE)</f>
        <v>144212.1642</v>
      </c>
      <c r="L8" s="22">
        <f>VLOOKUP(L4,CCA!$A$5:$J$25,9,FALSE)</f>
        <v>100948.51493999999</v>
      </c>
      <c r="M8" s="22">
        <f>VLOOKUP(M4,CCA!$A$5:$J$25,9,FALSE)</f>
        <v>70663.960458000016</v>
      </c>
      <c r="N8" s="22">
        <f>VLOOKUP(N4,CCA!$A$5:$J$25,9,FALSE)</f>
        <v>49464.772320600001</v>
      </c>
      <c r="O8" s="22">
        <f>VLOOKUP(O4,CCA!$A$5:$J$25,9,FALSE)</f>
        <v>34625.340624420001</v>
      </c>
      <c r="P8" s="22">
        <f>VLOOKUP(P4,CCA!$A$5:$J$25,9,FALSE)</f>
        <v>24237.738437094005</v>
      </c>
      <c r="Q8" s="22">
        <f>VLOOKUP(Q4,CCA!$A$5:$J$25,9,FALSE)</f>
        <v>16966.416905965802</v>
      </c>
      <c r="R8" s="22">
        <f>VLOOKUP(R4,CCA!$A$5:$J$25,9,FALSE)</f>
        <v>11876.49183417606</v>
      </c>
      <c r="S8" s="22">
        <f>VLOOKUP(S4,CCA!$A$5:$J$25,9,FALSE)</f>
        <v>8313.5442839232419</v>
      </c>
      <c r="T8" s="22">
        <f>VLOOKUP(T4,CCA!$A$5:$J$25,9,FALSE)</f>
        <v>5819.4809987462704</v>
      </c>
      <c r="U8" s="22">
        <f>VLOOKUP(U4,CCA!$A$5:$J$25,9,FALSE)</f>
        <v>4073.6366991223895</v>
      </c>
    </row>
    <row r="9" spans="1:21" x14ac:dyDescent="0.3">
      <c r="A9" s="21" t="s">
        <v>30</v>
      </c>
      <c r="B9" s="22">
        <v>200000</v>
      </c>
      <c r="C9" s="22">
        <f>B9*0.05+B9</f>
        <v>210000</v>
      </c>
      <c r="D9" s="22">
        <f t="shared" ref="D9:U9" si="0">C9*0.05+C9</f>
        <v>220500</v>
      </c>
      <c r="E9" s="22">
        <f t="shared" si="0"/>
        <v>231525</v>
      </c>
      <c r="F9" s="22">
        <f t="shared" si="0"/>
        <v>243101.25</v>
      </c>
      <c r="G9" s="22">
        <f t="shared" si="0"/>
        <v>255256.3125</v>
      </c>
      <c r="H9" s="22">
        <f t="shared" si="0"/>
        <v>268019.12812499999</v>
      </c>
      <c r="I9" s="22">
        <f t="shared" si="0"/>
        <v>281420.08453125</v>
      </c>
      <c r="J9" s="22">
        <f t="shared" si="0"/>
        <v>295491.08875781251</v>
      </c>
      <c r="K9" s="22">
        <f t="shared" si="0"/>
        <v>310265.64319570316</v>
      </c>
      <c r="L9" s="22">
        <f t="shared" si="0"/>
        <v>325778.92535548832</v>
      </c>
      <c r="M9" s="22">
        <f t="shared" si="0"/>
        <v>342067.87162326276</v>
      </c>
      <c r="N9" s="22">
        <f t="shared" si="0"/>
        <v>359171.2652044259</v>
      </c>
      <c r="O9" s="22">
        <f t="shared" si="0"/>
        <v>377129.82846464717</v>
      </c>
      <c r="P9" s="22">
        <f t="shared" si="0"/>
        <v>395986.31988787954</v>
      </c>
      <c r="Q9" s="22">
        <f t="shared" si="0"/>
        <v>415785.63588227349</v>
      </c>
      <c r="R9" s="22">
        <f t="shared" si="0"/>
        <v>436574.91767638718</v>
      </c>
      <c r="S9" s="22">
        <f t="shared" si="0"/>
        <v>458403.66356020654</v>
      </c>
      <c r="T9" s="22">
        <f t="shared" si="0"/>
        <v>481323.84673821687</v>
      </c>
      <c r="U9" s="22">
        <f t="shared" si="0"/>
        <v>505390.03907512774</v>
      </c>
    </row>
    <row r="10" spans="1:21" x14ac:dyDescent="0.3">
      <c r="A10" s="21" t="s">
        <v>37</v>
      </c>
      <c r="B10" s="22">
        <v>50000</v>
      </c>
      <c r="C10" s="22">
        <f>B10*0.02+B10</f>
        <v>51000</v>
      </c>
      <c r="D10" s="22">
        <f t="shared" ref="D10:U10" si="1">C10*0.02+C10</f>
        <v>52020</v>
      </c>
      <c r="E10" s="22">
        <f t="shared" si="1"/>
        <v>53060.4</v>
      </c>
      <c r="F10" s="22">
        <f t="shared" si="1"/>
        <v>54121.608</v>
      </c>
      <c r="G10" s="22">
        <f t="shared" si="1"/>
        <v>55204.040159999997</v>
      </c>
      <c r="H10" s="22">
        <f t="shared" si="1"/>
        <v>56308.120963199995</v>
      </c>
      <c r="I10" s="22">
        <f t="shared" si="1"/>
        <v>57434.283382463997</v>
      </c>
      <c r="J10" s="22">
        <f t="shared" si="1"/>
        <v>58582.969050113279</v>
      </c>
      <c r="K10" s="22">
        <f t="shared" si="1"/>
        <v>59754.628431115547</v>
      </c>
      <c r="L10" s="22">
        <f t="shared" si="1"/>
        <v>60949.72099973786</v>
      </c>
      <c r="M10" s="22">
        <f t="shared" si="1"/>
        <v>62168.715419732616</v>
      </c>
      <c r="N10" s="22">
        <f t="shared" si="1"/>
        <v>63412.08972812727</v>
      </c>
      <c r="O10" s="22">
        <f t="shared" si="1"/>
        <v>64680.331522689812</v>
      </c>
      <c r="P10" s="22">
        <f t="shared" si="1"/>
        <v>65973.938153143608</v>
      </c>
      <c r="Q10" s="22">
        <f t="shared" si="1"/>
        <v>67293.416916206479</v>
      </c>
      <c r="R10" s="22">
        <f t="shared" si="1"/>
        <v>68639.285254530609</v>
      </c>
      <c r="S10" s="22">
        <f t="shared" si="1"/>
        <v>70012.070959621225</v>
      </c>
      <c r="T10" s="22">
        <f t="shared" si="1"/>
        <v>71412.312378813644</v>
      </c>
      <c r="U10" s="22">
        <f t="shared" si="1"/>
        <v>72840.558626389917</v>
      </c>
    </row>
    <row r="11" spans="1:21" x14ac:dyDescent="0.3">
      <c r="A11" s="21" t="s">
        <v>38</v>
      </c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1" x14ac:dyDescent="0.3">
      <c r="A12" s="24" t="s">
        <v>2</v>
      </c>
      <c r="B12" s="22">
        <v>1000000</v>
      </c>
      <c r="C12" s="23">
        <f>B12*0.05+B12</f>
        <v>1050000</v>
      </c>
      <c r="D12" s="23">
        <f t="shared" ref="D12:U12" si="2">C12*0.05+C12</f>
        <v>1102500</v>
      </c>
      <c r="E12" s="23">
        <f t="shared" si="2"/>
        <v>1157625</v>
      </c>
      <c r="F12" s="23">
        <f t="shared" si="2"/>
        <v>1215506.25</v>
      </c>
      <c r="G12" s="23">
        <f t="shared" si="2"/>
        <v>1276281.5625</v>
      </c>
      <c r="H12" s="23">
        <f t="shared" si="2"/>
        <v>1340095.640625</v>
      </c>
      <c r="I12" s="23">
        <f t="shared" si="2"/>
        <v>1407100.42265625</v>
      </c>
      <c r="J12" s="23">
        <f t="shared" si="2"/>
        <v>1477455.4437890626</v>
      </c>
      <c r="K12" s="23">
        <f t="shared" si="2"/>
        <v>1551328.2159785158</v>
      </c>
      <c r="L12" s="23">
        <f t="shared" si="2"/>
        <v>1628894.6267774417</v>
      </c>
      <c r="M12" s="23">
        <f t="shared" si="2"/>
        <v>1710339.3581163138</v>
      </c>
      <c r="N12" s="23">
        <f t="shared" si="2"/>
        <v>1795856.3260221295</v>
      </c>
      <c r="O12" s="23">
        <f t="shared" si="2"/>
        <v>1885649.142323236</v>
      </c>
      <c r="P12" s="23">
        <f t="shared" si="2"/>
        <v>1979931.5994393977</v>
      </c>
      <c r="Q12" s="23">
        <f t="shared" si="2"/>
        <v>2078928.1794113675</v>
      </c>
      <c r="R12" s="23">
        <f t="shared" si="2"/>
        <v>2182874.5883819358</v>
      </c>
      <c r="S12" s="23">
        <f t="shared" si="2"/>
        <v>2292018.3178010327</v>
      </c>
      <c r="T12" s="23">
        <f t="shared" si="2"/>
        <v>2406619.2336910842</v>
      </c>
      <c r="U12" s="23">
        <f t="shared" si="2"/>
        <v>2526950.1953756385</v>
      </c>
    </row>
    <row r="13" spans="1:21" x14ac:dyDescent="0.3">
      <c r="A13" s="24" t="s">
        <v>1</v>
      </c>
      <c r="B13" s="22">
        <v>50000</v>
      </c>
      <c r="C13" s="25" t="s">
        <v>31</v>
      </c>
      <c r="D13" s="25" t="s">
        <v>31</v>
      </c>
      <c r="E13" s="25" t="s">
        <v>31</v>
      </c>
      <c r="F13" s="25" t="s">
        <v>31</v>
      </c>
      <c r="G13" s="25" t="s">
        <v>31</v>
      </c>
      <c r="H13" s="25" t="s">
        <v>31</v>
      </c>
      <c r="I13" s="25" t="s">
        <v>31</v>
      </c>
      <c r="J13" s="25" t="s">
        <v>31</v>
      </c>
      <c r="K13" s="22">
        <v>60000</v>
      </c>
      <c r="L13" s="25" t="s">
        <v>31</v>
      </c>
      <c r="M13" s="25" t="s">
        <v>31</v>
      </c>
      <c r="N13" s="25" t="s">
        <v>31</v>
      </c>
      <c r="O13" s="25" t="s">
        <v>31</v>
      </c>
      <c r="P13" s="25" t="s">
        <v>31</v>
      </c>
      <c r="Q13" s="25" t="s">
        <v>31</v>
      </c>
      <c r="R13" s="25" t="s">
        <v>31</v>
      </c>
      <c r="S13" s="25" t="s">
        <v>31</v>
      </c>
      <c r="T13" s="25" t="s">
        <v>31</v>
      </c>
      <c r="U13" s="25" t="s">
        <v>31</v>
      </c>
    </row>
    <row r="14" spans="1:21" x14ac:dyDescent="0.3">
      <c r="A14" s="24" t="s">
        <v>39</v>
      </c>
      <c r="B14" s="22">
        <v>300000</v>
      </c>
      <c r="C14" s="23">
        <f>B14*0.05+B14</f>
        <v>315000</v>
      </c>
      <c r="D14" s="23">
        <f t="shared" ref="D14:U14" si="3">C14*0.05+C14</f>
        <v>330750</v>
      </c>
      <c r="E14" s="23">
        <f t="shared" si="3"/>
        <v>347287.5</v>
      </c>
      <c r="F14" s="23">
        <f t="shared" si="3"/>
        <v>364651.875</v>
      </c>
      <c r="G14" s="23">
        <f t="shared" si="3"/>
        <v>382884.46875</v>
      </c>
      <c r="H14" s="23">
        <f t="shared" si="3"/>
        <v>402028.69218750001</v>
      </c>
      <c r="I14" s="23">
        <f t="shared" si="3"/>
        <v>422130.12679687503</v>
      </c>
      <c r="J14" s="23">
        <f t="shared" si="3"/>
        <v>443236.63313671877</v>
      </c>
      <c r="K14" s="23">
        <f t="shared" si="3"/>
        <v>465398.46479355468</v>
      </c>
      <c r="L14" s="23">
        <f t="shared" si="3"/>
        <v>488668.38803323242</v>
      </c>
      <c r="M14" s="23">
        <f t="shared" si="3"/>
        <v>513101.80743489403</v>
      </c>
      <c r="N14" s="23">
        <f t="shared" si="3"/>
        <v>538756.89780663874</v>
      </c>
      <c r="O14" s="23">
        <f t="shared" si="3"/>
        <v>565694.7426969707</v>
      </c>
      <c r="P14" s="23">
        <f t="shared" si="3"/>
        <v>593979.47983181919</v>
      </c>
      <c r="Q14" s="23">
        <f t="shared" si="3"/>
        <v>623678.45382341021</v>
      </c>
      <c r="R14" s="23">
        <f t="shared" si="3"/>
        <v>654862.37651458068</v>
      </c>
      <c r="S14" s="23">
        <f t="shared" si="3"/>
        <v>687605.49534030969</v>
      </c>
      <c r="T14" s="23">
        <f t="shared" si="3"/>
        <v>721985.77010732517</v>
      </c>
      <c r="U14" s="23">
        <f t="shared" si="3"/>
        <v>758085.05861269147</v>
      </c>
    </row>
    <row r="15" spans="1:21" x14ac:dyDescent="0.3">
      <c r="A15" s="21" t="s">
        <v>40</v>
      </c>
      <c r="B15" s="22">
        <v>50000</v>
      </c>
      <c r="C15" s="23">
        <f>B15*0.02+B15</f>
        <v>51000</v>
      </c>
      <c r="D15" s="23">
        <f t="shared" ref="D15:U15" si="4">C15*0.02+C15</f>
        <v>52020</v>
      </c>
      <c r="E15" s="23">
        <f t="shared" si="4"/>
        <v>53060.4</v>
      </c>
      <c r="F15" s="23">
        <f t="shared" si="4"/>
        <v>54121.608</v>
      </c>
      <c r="G15" s="23">
        <f t="shared" si="4"/>
        <v>55204.040159999997</v>
      </c>
      <c r="H15" s="23">
        <f t="shared" si="4"/>
        <v>56308.120963199995</v>
      </c>
      <c r="I15" s="23">
        <f t="shared" si="4"/>
        <v>57434.283382463997</v>
      </c>
      <c r="J15" s="23">
        <f t="shared" si="4"/>
        <v>58582.969050113279</v>
      </c>
      <c r="K15" s="23">
        <f t="shared" si="4"/>
        <v>59754.628431115547</v>
      </c>
      <c r="L15" s="23">
        <f t="shared" si="4"/>
        <v>60949.72099973786</v>
      </c>
      <c r="M15" s="23">
        <f t="shared" si="4"/>
        <v>62168.715419732616</v>
      </c>
      <c r="N15" s="23">
        <f t="shared" si="4"/>
        <v>63412.08972812727</v>
      </c>
      <c r="O15" s="23">
        <f t="shared" si="4"/>
        <v>64680.331522689812</v>
      </c>
      <c r="P15" s="23">
        <f t="shared" si="4"/>
        <v>65973.938153143608</v>
      </c>
      <c r="Q15" s="23">
        <f t="shared" si="4"/>
        <v>67293.416916206479</v>
      </c>
      <c r="R15" s="23">
        <f t="shared" si="4"/>
        <v>68639.285254530609</v>
      </c>
      <c r="S15" s="23">
        <f t="shared" si="4"/>
        <v>70012.070959621225</v>
      </c>
      <c r="T15" s="23">
        <f t="shared" si="4"/>
        <v>71412.312378813644</v>
      </c>
      <c r="U15" s="23">
        <f t="shared" si="4"/>
        <v>72840.558626389917</v>
      </c>
    </row>
    <row r="16" spans="1:21" x14ac:dyDescent="0.3">
      <c r="A16" s="21" t="s">
        <v>41</v>
      </c>
      <c r="B16" s="22">
        <v>20000</v>
      </c>
      <c r="C16" s="23">
        <f>B16*0.02+B16</f>
        <v>20400</v>
      </c>
      <c r="D16" s="23">
        <f t="shared" ref="D16:U16" si="5">C16*0.02+C16</f>
        <v>20808</v>
      </c>
      <c r="E16" s="23">
        <f t="shared" si="5"/>
        <v>21224.16</v>
      </c>
      <c r="F16" s="23">
        <f t="shared" si="5"/>
        <v>21648.643199999999</v>
      </c>
      <c r="G16" s="23">
        <f t="shared" si="5"/>
        <v>22081.616063999998</v>
      </c>
      <c r="H16" s="23">
        <f t="shared" si="5"/>
        <v>22523.24838528</v>
      </c>
      <c r="I16" s="23">
        <f t="shared" si="5"/>
        <v>22973.7133529856</v>
      </c>
      <c r="J16" s="23">
        <f t="shared" si="5"/>
        <v>23433.187620045312</v>
      </c>
      <c r="K16" s="23">
        <f t="shared" si="5"/>
        <v>23901.851372446217</v>
      </c>
      <c r="L16" s="23">
        <f t="shared" si="5"/>
        <v>24379.888399895142</v>
      </c>
      <c r="M16" s="23">
        <f t="shared" si="5"/>
        <v>24867.486167893047</v>
      </c>
      <c r="N16" s="23">
        <f t="shared" si="5"/>
        <v>25364.835891250907</v>
      </c>
      <c r="O16" s="23">
        <f t="shared" si="5"/>
        <v>25872.132609075925</v>
      </c>
      <c r="P16" s="23">
        <f t="shared" si="5"/>
        <v>26389.575261257443</v>
      </c>
      <c r="Q16" s="23">
        <f t="shared" si="5"/>
        <v>26917.366766482592</v>
      </c>
      <c r="R16" s="23">
        <f t="shared" si="5"/>
        <v>27455.714101812242</v>
      </c>
      <c r="S16" s="23">
        <f t="shared" si="5"/>
        <v>28004.828383848486</v>
      </c>
      <c r="T16" s="23">
        <f t="shared" si="5"/>
        <v>28564.924951525456</v>
      </c>
      <c r="U16" s="23">
        <f t="shared" si="5"/>
        <v>29136.223450555965</v>
      </c>
    </row>
    <row r="17" spans="1:21" x14ac:dyDescent="0.3">
      <c r="A17" s="21" t="s">
        <v>42</v>
      </c>
      <c r="B17" s="22">
        <v>20000</v>
      </c>
      <c r="C17" s="22">
        <v>10000</v>
      </c>
      <c r="D17" s="22">
        <v>10000</v>
      </c>
      <c r="E17" s="22">
        <v>5000</v>
      </c>
      <c r="F17" s="22">
        <v>5000</v>
      </c>
      <c r="G17" s="25" t="s">
        <v>31</v>
      </c>
      <c r="H17" s="25" t="s">
        <v>31</v>
      </c>
      <c r="I17" s="25" t="s">
        <v>31</v>
      </c>
      <c r="J17" s="25" t="s">
        <v>31</v>
      </c>
      <c r="K17" s="25" t="s">
        <v>31</v>
      </c>
      <c r="L17" s="25" t="s">
        <v>31</v>
      </c>
      <c r="M17" s="25" t="s">
        <v>31</v>
      </c>
      <c r="N17" s="25" t="s">
        <v>31</v>
      </c>
      <c r="O17" s="25" t="s">
        <v>31</v>
      </c>
      <c r="P17" s="25" t="s">
        <v>31</v>
      </c>
      <c r="Q17" s="25" t="s">
        <v>31</v>
      </c>
      <c r="R17" s="25" t="s">
        <v>31</v>
      </c>
      <c r="S17" s="25" t="s">
        <v>31</v>
      </c>
      <c r="T17" s="25" t="s">
        <v>31</v>
      </c>
      <c r="U17" s="25" t="s">
        <v>31</v>
      </c>
    </row>
    <row r="18" spans="1:21" x14ac:dyDescent="0.3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1:21" x14ac:dyDescent="0.3">
      <c r="A19" s="38" t="s">
        <v>43</v>
      </c>
      <c r="B19" s="22">
        <f>SUM(B8:B17)</f>
        <v>2290000</v>
      </c>
      <c r="C19" s="22">
        <f t="shared" ref="C19:U19" si="6">SUM(C8:C17)</f>
        <v>2127400</v>
      </c>
      <c r="D19" s="22">
        <f t="shared" si="6"/>
        <v>2082598</v>
      </c>
      <c r="E19" s="22">
        <f t="shared" si="6"/>
        <v>2074582.4599999997</v>
      </c>
      <c r="F19" s="22">
        <f t="shared" si="6"/>
        <v>2102211.2341999998</v>
      </c>
      <c r="G19" s="22">
        <f t="shared" si="6"/>
        <v>2147754.0401339997</v>
      </c>
      <c r="H19" s="22">
        <f t="shared" si="6"/>
        <v>2215872.3512491798</v>
      </c>
      <c r="I19" s="22">
        <f t="shared" si="6"/>
        <v>2297905.494102289</v>
      </c>
      <c r="J19" s="22">
        <f t="shared" si="6"/>
        <v>2391371.0974038653</v>
      </c>
      <c r="K19" s="22">
        <f t="shared" si="6"/>
        <v>2674615.5964024514</v>
      </c>
      <c r="L19" s="22">
        <f t="shared" si="6"/>
        <v>2690569.7855055337</v>
      </c>
      <c r="M19" s="22">
        <f t="shared" si="6"/>
        <v>2785377.9146398287</v>
      </c>
      <c r="N19" s="22">
        <f t="shared" si="6"/>
        <v>2895438.2767012999</v>
      </c>
      <c r="O19" s="22">
        <f t="shared" si="6"/>
        <v>3018331.8497637291</v>
      </c>
      <c r="P19" s="22">
        <f t="shared" si="6"/>
        <v>3152472.589163735</v>
      </c>
      <c r="Q19" s="22">
        <f t="shared" si="6"/>
        <v>3296862.8866219129</v>
      </c>
      <c r="R19" s="22">
        <f t="shared" si="6"/>
        <v>3450922.6590179531</v>
      </c>
      <c r="S19" s="22">
        <f t="shared" si="6"/>
        <v>3614369.9912885628</v>
      </c>
      <c r="T19" s="22">
        <f t="shared" si="6"/>
        <v>3787137.8812445253</v>
      </c>
      <c r="U19" s="22">
        <f t="shared" si="6"/>
        <v>3969316.2704659156</v>
      </c>
    </row>
    <row r="20" spans="1:21" x14ac:dyDescent="0.3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1:21" x14ac:dyDescent="0.3">
      <c r="A21" s="17" t="s">
        <v>7</v>
      </c>
      <c r="B21" s="27">
        <f t="shared" ref="B21:U21" si="7">B5-B19</f>
        <v>-590000</v>
      </c>
      <c r="C21" s="27">
        <f t="shared" si="7"/>
        <v>-17400</v>
      </c>
      <c r="D21" s="27">
        <f t="shared" si="7"/>
        <v>152377</v>
      </c>
      <c r="E21" s="27">
        <f t="shared" si="7"/>
        <v>293547.66500000027</v>
      </c>
      <c r="F21" s="27">
        <f t="shared" si="7"/>
        <v>407812.5464250003</v>
      </c>
      <c r="G21" s="27">
        <f t="shared" si="7"/>
        <v>513499.06568162562</v>
      </c>
      <c r="H21" s="27">
        <f t="shared" si="7"/>
        <v>606584.32403408643</v>
      </c>
      <c r="I21" s="27">
        <f t="shared" si="7"/>
        <v>696411.89681286644</v>
      </c>
      <c r="J21" s="27">
        <f t="shared" si="7"/>
        <v>786194.47794646304</v>
      </c>
      <c r="K21" s="27">
        <f t="shared" si="7"/>
        <v>698366.68547029002</v>
      </c>
      <c r="L21" s="27">
        <f t="shared" si="7"/>
        <v>835679.27387978183</v>
      </c>
      <c r="M21" s="27">
        <f t="shared" si="7"/>
        <v>901416.70271916315</v>
      </c>
      <c r="N21" s="27">
        <f t="shared" si="7"/>
        <v>959535.00415516226</v>
      </c>
      <c r="O21" s="27">
        <f t="shared" si="7"/>
        <v>1012825.0010808157</v>
      </c>
      <c r="P21" s="27">
        <f t="shared" si="7"/>
        <v>1063262.882816927</v>
      </c>
      <c r="Q21" s="27">
        <f t="shared" si="7"/>
        <v>1112255.6570165204</v>
      </c>
      <c r="R21" s="27">
        <f t="shared" si="7"/>
        <v>1160813.0173126077</v>
      </c>
      <c r="S21" s="27">
        <f t="shared" si="7"/>
        <v>1209667.7045064881</v>
      </c>
      <c r="T21" s="27">
        <f t="shared" si="7"/>
        <v>1259359.8158794381</v>
      </c>
      <c r="U21" s="27">
        <f t="shared" si="7"/>
        <v>1310295.8809668855</v>
      </c>
    </row>
    <row r="22" spans="1:21" x14ac:dyDescent="0.3">
      <c r="A22" s="17" t="s">
        <v>45</v>
      </c>
      <c r="B22" s="28">
        <v>0</v>
      </c>
      <c r="C22" s="28">
        <v>0</v>
      </c>
      <c r="D22" s="28">
        <f t="shared" ref="D22:U22" si="8">0.2513*D21</f>
        <v>38292.340100000001</v>
      </c>
      <c r="E22" s="28">
        <f t="shared" si="8"/>
        <v>73768.528214500082</v>
      </c>
      <c r="F22" s="28">
        <f t="shared" si="8"/>
        <v>102483.29291660259</v>
      </c>
      <c r="G22" s="28">
        <f t="shared" si="8"/>
        <v>129042.31520579253</v>
      </c>
      <c r="H22" s="28">
        <f t="shared" si="8"/>
        <v>152434.64062976593</v>
      </c>
      <c r="I22" s="28">
        <f t="shared" si="8"/>
        <v>175008.30966907335</v>
      </c>
      <c r="J22" s="28">
        <f t="shared" si="8"/>
        <v>197570.67230794617</v>
      </c>
      <c r="K22" s="28">
        <f t="shared" si="8"/>
        <v>175499.5480586839</v>
      </c>
      <c r="L22" s="28">
        <f t="shared" si="8"/>
        <v>210006.20152598919</v>
      </c>
      <c r="M22" s="28">
        <f t="shared" si="8"/>
        <v>226526.01739332572</v>
      </c>
      <c r="N22" s="28">
        <f t="shared" si="8"/>
        <v>241131.14654419231</v>
      </c>
      <c r="O22" s="28">
        <f t="shared" si="8"/>
        <v>254522.92277160901</v>
      </c>
      <c r="P22" s="28">
        <f t="shared" si="8"/>
        <v>267197.96245189378</v>
      </c>
      <c r="Q22" s="28">
        <f t="shared" si="8"/>
        <v>279509.84660825162</v>
      </c>
      <c r="R22" s="28">
        <f t="shared" si="8"/>
        <v>291712.31125065836</v>
      </c>
      <c r="S22" s="28">
        <f t="shared" si="8"/>
        <v>303989.49414248049</v>
      </c>
      <c r="T22" s="28">
        <f t="shared" si="8"/>
        <v>316477.12173050281</v>
      </c>
      <c r="U22" s="28">
        <f t="shared" si="8"/>
        <v>329277.35488697834</v>
      </c>
    </row>
    <row r="23" spans="1:21" x14ac:dyDescent="0.3">
      <c r="A23" s="17" t="s">
        <v>8</v>
      </c>
      <c r="B23" s="27">
        <f t="shared" ref="B23:U23" si="9">B21-B22</f>
        <v>-590000</v>
      </c>
      <c r="C23" s="27">
        <f t="shared" si="9"/>
        <v>-17400</v>
      </c>
      <c r="D23" s="27">
        <f t="shared" si="9"/>
        <v>114084.6599</v>
      </c>
      <c r="E23" s="27">
        <f t="shared" si="9"/>
        <v>219779.13678550019</v>
      </c>
      <c r="F23" s="27">
        <f t="shared" si="9"/>
        <v>305329.25350839773</v>
      </c>
      <c r="G23" s="27">
        <f t="shared" si="9"/>
        <v>384456.75047583308</v>
      </c>
      <c r="H23" s="27">
        <f t="shared" si="9"/>
        <v>454149.6834043205</v>
      </c>
      <c r="I23" s="27">
        <f t="shared" si="9"/>
        <v>521403.58714379312</v>
      </c>
      <c r="J23" s="27">
        <f t="shared" si="9"/>
        <v>588623.8056385169</v>
      </c>
      <c r="K23" s="27">
        <f t="shared" si="9"/>
        <v>522867.13741160615</v>
      </c>
      <c r="L23" s="27">
        <f t="shared" si="9"/>
        <v>625673.07235379261</v>
      </c>
      <c r="M23" s="27">
        <f t="shared" si="9"/>
        <v>674890.68532583746</v>
      </c>
      <c r="N23" s="27">
        <f t="shared" si="9"/>
        <v>718403.85761096992</v>
      </c>
      <c r="O23" s="27">
        <f t="shared" si="9"/>
        <v>758302.07830920664</v>
      </c>
      <c r="P23" s="27">
        <f t="shared" si="9"/>
        <v>796064.92036503321</v>
      </c>
      <c r="Q23" s="27">
        <f t="shared" si="9"/>
        <v>832745.81040826882</v>
      </c>
      <c r="R23" s="27">
        <f t="shared" si="9"/>
        <v>869100.70606194937</v>
      </c>
      <c r="S23" s="27">
        <f t="shared" si="9"/>
        <v>905678.21036400762</v>
      </c>
      <c r="T23" s="27">
        <f t="shared" si="9"/>
        <v>942882.69414893526</v>
      </c>
      <c r="U23" s="27">
        <f t="shared" si="9"/>
        <v>981018.52607990708</v>
      </c>
    </row>
    <row r="24" spans="1:21" x14ac:dyDescent="0.3">
      <c r="A24" s="17" t="s">
        <v>29</v>
      </c>
      <c r="B24" s="29">
        <f t="shared" ref="B24:U24" si="10">B23/B19</f>
        <v>-0.2576419213973799</v>
      </c>
      <c r="C24" s="29">
        <f t="shared" si="10"/>
        <v>-8.1789978377362037E-3</v>
      </c>
      <c r="D24" s="29">
        <f t="shared" si="10"/>
        <v>5.4779971890878604E-2</v>
      </c>
      <c r="E24" s="29">
        <f t="shared" si="10"/>
        <v>0.10593897375643493</v>
      </c>
      <c r="F24" s="29">
        <f t="shared" si="10"/>
        <v>0.14524194740334517</v>
      </c>
      <c r="G24" s="29">
        <f t="shared" si="10"/>
        <v>0.17900408673045567</v>
      </c>
      <c r="H24" s="29">
        <f t="shared" si="10"/>
        <v>0.20495299882608189</v>
      </c>
      <c r="I24" s="29">
        <f t="shared" si="10"/>
        <v>0.22690384286125187</v>
      </c>
      <c r="J24" s="29">
        <f t="shared" si="10"/>
        <v>0.24614490251117538</v>
      </c>
      <c r="K24" s="29">
        <f t="shared" si="10"/>
        <v>0.19549244314394176</v>
      </c>
      <c r="L24" s="29">
        <f t="shared" si="10"/>
        <v>0.23254296384519693</v>
      </c>
      <c r="M24" s="29">
        <f t="shared" si="10"/>
        <v>0.24229770824944094</v>
      </c>
      <c r="N24" s="29">
        <f t="shared" si="10"/>
        <v>0.24811575621961776</v>
      </c>
      <c r="O24" s="29">
        <f t="shared" si="10"/>
        <v>0.25123217593471886</v>
      </c>
      <c r="P24" s="29">
        <f t="shared" si="10"/>
        <v>0.25252080639857599</v>
      </c>
      <c r="Q24" s="29">
        <f t="shared" si="10"/>
        <v>0.25258733500486302</v>
      </c>
      <c r="R24" s="29">
        <f t="shared" si="10"/>
        <v>0.25184589512338529</v>
      </c>
      <c r="S24" s="29">
        <f t="shared" si="10"/>
        <v>0.25057706116056022</v>
      </c>
      <c r="T24" s="29">
        <f t="shared" si="10"/>
        <v>0.24896972957295291</v>
      </c>
      <c r="U24" s="29">
        <f t="shared" si="10"/>
        <v>0.24715050634268451</v>
      </c>
    </row>
    <row r="26" spans="1:21" x14ac:dyDescent="0.3">
      <c r="U26" s="3"/>
    </row>
    <row r="27" spans="1:21" x14ac:dyDescent="0.3">
      <c r="H27" s="3"/>
    </row>
  </sheetData>
  <mergeCells count="1">
    <mergeCell ref="A1:U1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464D-8A46-4AB3-A5F2-073391EBCBF5}">
  <sheetPr codeName="Sheet1"/>
  <dimension ref="A1:J27"/>
  <sheetViews>
    <sheetView topLeftCell="A3" workbookViewId="0">
      <selection activeCell="A14" sqref="A14"/>
    </sheetView>
  </sheetViews>
  <sheetFormatPr defaultRowHeight="14.4" x14ac:dyDescent="0.3"/>
  <cols>
    <col min="1" max="1" width="18.33203125" customWidth="1"/>
    <col min="2" max="2" width="18.77734375" bestFit="1" customWidth="1"/>
    <col min="3" max="3" width="16.77734375" bestFit="1" customWidth="1"/>
    <col min="4" max="4" width="25.77734375" bestFit="1" customWidth="1"/>
    <col min="5" max="5" width="17.6640625" bestFit="1" customWidth="1"/>
    <col min="6" max="6" width="10.33203125" bestFit="1" customWidth="1"/>
    <col min="7" max="7" width="20.21875" bestFit="1" customWidth="1"/>
    <col min="8" max="8" width="23.5546875" bestFit="1" customWidth="1"/>
    <col min="9" max="9" width="15.33203125" bestFit="1" customWidth="1"/>
    <col min="10" max="10" width="18.44140625" bestFit="1" customWidth="1"/>
    <col min="11" max="14" width="20.21875" bestFit="1" customWidth="1"/>
    <col min="15" max="16" width="9.5546875" bestFit="1" customWidth="1"/>
    <col min="17" max="22" width="8.5546875" bestFit="1" customWidth="1"/>
    <col min="23" max="23" width="7.5546875" bestFit="1" customWidth="1"/>
  </cols>
  <sheetData>
    <row r="1" spans="1:10" x14ac:dyDescent="0.3">
      <c r="B1" s="41" t="s">
        <v>3</v>
      </c>
      <c r="C1" s="42"/>
      <c r="D1" s="43"/>
      <c r="E1" s="44" t="s">
        <v>33</v>
      </c>
      <c r="F1" s="45"/>
      <c r="G1" s="45"/>
      <c r="H1" s="46"/>
    </row>
    <row r="2" spans="1:10" x14ac:dyDescent="0.3">
      <c r="B2" s="11" t="s">
        <v>52</v>
      </c>
      <c r="C2" s="11" t="s">
        <v>51</v>
      </c>
      <c r="D2" s="11" t="s">
        <v>32</v>
      </c>
      <c r="E2" s="11" t="s">
        <v>36</v>
      </c>
      <c r="F2" s="11" t="s">
        <v>34</v>
      </c>
      <c r="G2" s="11" t="s">
        <v>53</v>
      </c>
      <c r="H2" s="11" t="s">
        <v>35</v>
      </c>
    </row>
    <row r="3" spans="1:10" x14ac:dyDescent="0.3">
      <c r="A3" s="8" t="s">
        <v>47</v>
      </c>
      <c r="B3" s="9">
        <v>500000</v>
      </c>
      <c r="C3" s="9">
        <v>1000000</v>
      </c>
      <c r="D3" s="9">
        <v>200000</v>
      </c>
      <c r="E3" s="9">
        <v>100000</v>
      </c>
      <c r="F3" s="9">
        <v>50000</v>
      </c>
      <c r="G3" s="9">
        <v>100000</v>
      </c>
      <c r="H3" s="9">
        <v>50000</v>
      </c>
      <c r="I3" s="10">
        <f>SUM(B3:H3)</f>
        <v>2000000</v>
      </c>
    </row>
    <row r="4" spans="1:10" x14ac:dyDescent="0.3">
      <c r="A4" s="6" t="s">
        <v>66</v>
      </c>
      <c r="B4" s="6"/>
      <c r="C4" s="6"/>
      <c r="D4" s="6"/>
      <c r="E4" s="6"/>
      <c r="F4" s="6"/>
      <c r="G4" s="6"/>
      <c r="H4" s="6"/>
      <c r="I4" s="7" t="s">
        <v>50</v>
      </c>
      <c r="J4" s="6" t="s">
        <v>48</v>
      </c>
    </row>
    <row r="5" spans="1:10" x14ac:dyDescent="0.3">
      <c r="A5" s="5" t="s">
        <v>9</v>
      </c>
      <c r="B5" s="4">
        <f t="shared" ref="B5:H5" si="0">B3-(0.3*B3)</f>
        <v>350000</v>
      </c>
      <c r="C5" s="4">
        <f t="shared" si="0"/>
        <v>700000</v>
      </c>
      <c r="D5" s="4">
        <f t="shared" si="0"/>
        <v>140000</v>
      </c>
      <c r="E5" s="4">
        <f t="shared" si="0"/>
        <v>70000</v>
      </c>
      <c r="F5" s="4">
        <f t="shared" si="0"/>
        <v>35000</v>
      </c>
      <c r="G5" s="4">
        <f t="shared" si="0"/>
        <v>70000</v>
      </c>
      <c r="H5" s="4">
        <f t="shared" si="0"/>
        <v>35000</v>
      </c>
      <c r="I5" s="4">
        <f>0.3*(SUM(B3:H3))</f>
        <v>600000</v>
      </c>
      <c r="J5" s="4">
        <f>I3-(0.3*I3)</f>
        <v>1400000</v>
      </c>
    </row>
    <row r="6" spans="1:10" x14ac:dyDescent="0.3">
      <c r="A6" s="5" t="s">
        <v>10</v>
      </c>
      <c r="B6" s="4">
        <f t="shared" ref="B6:H25" si="1">B5-(0.3*B5)</f>
        <v>245000</v>
      </c>
      <c r="C6" s="4">
        <f t="shared" ref="C6:H21" si="2">C5-(0.3*C5)</f>
        <v>490000</v>
      </c>
      <c r="D6" s="4">
        <f t="shared" si="2"/>
        <v>98000</v>
      </c>
      <c r="E6" s="4">
        <f t="shared" si="2"/>
        <v>49000</v>
      </c>
      <c r="F6" s="4">
        <f t="shared" si="2"/>
        <v>24500</v>
      </c>
      <c r="G6" s="4">
        <f t="shared" si="2"/>
        <v>49000</v>
      </c>
      <c r="H6" s="4">
        <f t="shared" si="2"/>
        <v>24500</v>
      </c>
      <c r="I6" s="4">
        <f t="shared" ref="I6:I25" si="3">0.3*(SUM(B5:H5))</f>
        <v>420000</v>
      </c>
      <c r="J6" s="4">
        <f>J5-(0.3*J5)</f>
        <v>980000</v>
      </c>
    </row>
    <row r="7" spans="1:10" x14ac:dyDescent="0.3">
      <c r="A7" s="5" t="s">
        <v>11</v>
      </c>
      <c r="B7" s="4">
        <f t="shared" si="1"/>
        <v>171500</v>
      </c>
      <c r="C7" s="4">
        <f t="shared" si="2"/>
        <v>343000</v>
      </c>
      <c r="D7" s="4">
        <f t="shared" si="2"/>
        <v>68600</v>
      </c>
      <c r="E7" s="4">
        <f t="shared" si="2"/>
        <v>34300</v>
      </c>
      <c r="F7" s="4">
        <f t="shared" si="2"/>
        <v>17150</v>
      </c>
      <c r="G7" s="4">
        <f t="shared" si="2"/>
        <v>34300</v>
      </c>
      <c r="H7" s="4">
        <f t="shared" si="2"/>
        <v>17150</v>
      </c>
      <c r="I7" s="4">
        <f t="shared" si="3"/>
        <v>294000</v>
      </c>
      <c r="J7" s="4">
        <f>J6-(0.3*J6)</f>
        <v>686000</v>
      </c>
    </row>
    <row r="8" spans="1:10" x14ac:dyDescent="0.3">
      <c r="A8" s="5" t="s">
        <v>12</v>
      </c>
      <c r="B8" s="4">
        <f t="shared" si="1"/>
        <v>120050</v>
      </c>
      <c r="C8" s="4">
        <f t="shared" si="2"/>
        <v>240100</v>
      </c>
      <c r="D8" s="4">
        <f t="shared" si="2"/>
        <v>48020</v>
      </c>
      <c r="E8" s="4">
        <f t="shared" si="2"/>
        <v>24010</v>
      </c>
      <c r="F8" s="4">
        <f t="shared" si="2"/>
        <v>12005</v>
      </c>
      <c r="G8" s="4">
        <f t="shared" si="2"/>
        <v>24010</v>
      </c>
      <c r="H8" s="4">
        <f t="shared" si="2"/>
        <v>12005</v>
      </c>
      <c r="I8" s="4">
        <f t="shared" si="3"/>
        <v>205800</v>
      </c>
      <c r="J8" s="4">
        <f t="shared" ref="J8:J25" si="4">J7-(0.3*J7)</f>
        <v>480200</v>
      </c>
    </row>
    <row r="9" spans="1:10" x14ac:dyDescent="0.3">
      <c r="A9" s="5" t="s">
        <v>13</v>
      </c>
      <c r="B9" s="4">
        <f t="shared" si="1"/>
        <v>84035</v>
      </c>
      <c r="C9" s="4">
        <f t="shared" si="2"/>
        <v>168070</v>
      </c>
      <c r="D9" s="4">
        <f t="shared" si="2"/>
        <v>33614</v>
      </c>
      <c r="E9" s="4">
        <f t="shared" si="2"/>
        <v>16807</v>
      </c>
      <c r="F9" s="4">
        <f t="shared" si="2"/>
        <v>8403.5</v>
      </c>
      <c r="G9" s="4">
        <f t="shared" si="2"/>
        <v>16807</v>
      </c>
      <c r="H9" s="4">
        <f t="shared" si="2"/>
        <v>8403.5</v>
      </c>
      <c r="I9" s="4">
        <f t="shared" si="3"/>
        <v>144060</v>
      </c>
      <c r="J9" s="4">
        <f t="shared" si="4"/>
        <v>336140</v>
      </c>
    </row>
    <row r="10" spans="1:10" x14ac:dyDescent="0.3">
      <c r="A10" s="5" t="s">
        <v>14</v>
      </c>
      <c r="B10" s="4">
        <f t="shared" si="1"/>
        <v>58824.5</v>
      </c>
      <c r="C10" s="4">
        <f t="shared" si="2"/>
        <v>117649</v>
      </c>
      <c r="D10" s="4">
        <f t="shared" si="2"/>
        <v>23529.800000000003</v>
      </c>
      <c r="E10" s="4">
        <f t="shared" si="2"/>
        <v>11764.900000000001</v>
      </c>
      <c r="F10" s="4">
        <f t="shared" si="2"/>
        <v>5882.4500000000007</v>
      </c>
      <c r="G10" s="4">
        <f t="shared" si="2"/>
        <v>11764.900000000001</v>
      </c>
      <c r="H10" s="4">
        <f t="shared" si="2"/>
        <v>5882.4500000000007</v>
      </c>
      <c r="I10" s="4">
        <f t="shared" si="3"/>
        <v>100842</v>
      </c>
      <c r="J10" s="4">
        <f t="shared" si="4"/>
        <v>235298</v>
      </c>
    </row>
    <row r="11" spans="1:10" x14ac:dyDescent="0.3">
      <c r="A11" s="5" t="s">
        <v>15</v>
      </c>
      <c r="B11" s="4">
        <f t="shared" si="1"/>
        <v>41177.15</v>
      </c>
      <c r="C11" s="4">
        <f t="shared" si="2"/>
        <v>82354.3</v>
      </c>
      <c r="D11" s="4">
        <f t="shared" si="2"/>
        <v>16470.86</v>
      </c>
      <c r="E11" s="4">
        <f t="shared" si="2"/>
        <v>8235.43</v>
      </c>
      <c r="F11" s="4">
        <f t="shared" si="2"/>
        <v>4117.7150000000001</v>
      </c>
      <c r="G11" s="4">
        <f t="shared" si="2"/>
        <v>8235.43</v>
      </c>
      <c r="H11" s="4">
        <f t="shared" si="2"/>
        <v>4117.7150000000001</v>
      </c>
      <c r="I11" s="4">
        <f t="shared" si="3"/>
        <v>70589.399999999994</v>
      </c>
      <c r="J11" s="4">
        <f t="shared" si="4"/>
        <v>164708.6</v>
      </c>
    </row>
    <row r="12" spans="1:10" x14ac:dyDescent="0.3">
      <c r="A12" s="5" t="s">
        <v>16</v>
      </c>
      <c r="B12" s="4">
        <f t="shared" si="1"/>
        <v>28824.005000000001</v>
      </c>
      <c r="C12" s="4">
        <f t="shared" si="2"/>
        <v>57648.01</v>
      </c>
      <c r="D12" s="4">
        <f t="shared" si="2"/>
        <v>11529.602000000001</v>
      </c>
      <c r="E12" s="4">
        <f t="shared" si="2"/>
        <v>5764.8010000000004</v>
      </c>
      <c r="F12" s="4">
        <f t="shared" si="2"/>
        <v>2882.4005000000002</v>
      </c>
      <c r="G12" s="4">
        <f t="shared" si="2"/>
        <v>5764.8010000000004</v>
      </c>
      <c r="H12" s="4">
        <f t="shared" si="2"/>
        <v>2882.4005000000002</v>
      </c>
      <c r="I12" s="4">
        <f t="shared" si="3"/>
        <v>49412.579999999994</v>
      </c>
      <c r="J12" s="4">
        <f t="shared" si="4"/>
        <v>115296.02</v>
      </c>
    </row>
    <row r="13" spans="1:10" x14ac:dyDescent="0.3">
      <c r="A13" s="5" t="s">
        <v>17</v>
      </c>
      <c r="B13" s="4">
        <f t="shared" si="1"/>
        <v>20176.803500000002</v>
      </c>
      <c r="C13" s="4">
        <f t="shared" si="2"/>
        <v>40353.607000000004</v>
      </c>
      <c r="D13" s="4">
        <f t="shared" si="2"/>
        <v>8070.7214000000004</v>
      </c>
      <c r="E13" s="4">
        <f t="shared" si="2"/>
        <v>4035.3607000000002</v>
      </c>
      <c r="F13" s="4">
        <f t="shared" si="2"/>
        <v>2017.6803500000001</v>
      </c>
      <c r="G13" s="4">
        <f t="shared" si="2"/>
        <v>4035.3607000000002</v>
      </c>
      <c r="H13" s="4">
        <f t="shared" si="2"/>
        <v>2017.6803500000001</v>
      </c>
      <c r="I13" s="4">
        <f t="shared" si="3"/>
        <v>34588.806000000004</v>
      </c>
      <c r="J13" s="4">
        <f>J12-(0.3*J12)</f>
        <v>80707.214000000007</v>
      </c>
    </row>
    <row r="14" spans="1:10" x14ac:dyDescent="0.3">
      <c r="A14" s="13" t="s">
        <v>49</v>
      </c>
      <c r="B14" s="12">
        <f>0.2*B3</f>
        <v>100000</v>
      </c>
      <c r="C14" s="12">
        <f t="shared" ref="C14:I14" si="5">0.2*C3</f>
        <v>200000</v>
      </c>
      <c r="D14" s="12">
        <f t="shared" si="5"/>
        <v>40000</v>
      </c>
      <c r="E14" s="12">
        <f t="shared" si="5"/>
        <v>20000</v>
      </c>
      <c r="F14" s="12">
        <f t="shared" si="5"/>
        <v>10000</v>
      </c>
      <c r="G14" s="12">
        <f t="shared" si="5"/>
        <v>20000</v>
      </c>
      <c r="H14" s="12">
        <f t="shared" si="5"/>
        <v>10000</v>
      </c>
      <c r="I14" s="14">
        <f t="shared" si="5"/>
        <v>400000</v>
      </c>
    </row>
    <row r="15" spans="1:10" x14ac:dyDescent="0.3">
      <c r="A15" s="5" t="s">
        <v>18</v>
      </c>
      <c r="B15" s="4">
        <f>B13+B14-(0.3*(B13+B14))</f>
        <v>84123.762450000009</v>
      </c>
      <c r="C15" s="4">
        <f t="shared" ref="C15:H15" si="6">C13+C14-(0.3*(C13+C14))</f>
        <v>168247.52490000002</v>
      </c>
      <c r="D15" s="4">
        <f t="shared" si="6"/>
        <v>33649.504979999998</v>
      </c>
      <c r="E15" s="4">
        <f t="shared" si="6"/>
        <v>16824.752489999999</v>
      </c>
      <c r="F15" s="4">
        <f t="shared" si="6"/>
        <v>8412.3762449999995</v>
      </c>
      <c r="G15" s="4">
        <f t="shared" si="6"/>
        <v>16824.752489999999</v>
      </c>
      <c r="H15" s="4">
        <f t="shared" si="6"/>
        <v>8412.3762449999995</v>
      </c>
      <c r="I15" s="2">
        <f>0.3*(SUM(B13:H13,B14:H14))</f>
        <v>144212.1642</v>
      </c>
      <c r="J15" s="4">
        <f>J13+I14-(0.3*(J13+I14))</f>
        <v>336495.04980000004</v>
      </c>
    </row>
    <row r="16" spans="1:10" x14ac:dyDescent="0.3">
      <c r="A16" s="5" t="s">
        <v>19</v>
      </c>
      <c r="B16" s="4">
        <f t="shared" si="1"/>
        <v>58886.633715000004</v>
      </c>
      <c r="C16" s="4">
        <f t="shared" si="2"/>
        <v>117773.26743000001</v>
      </c>
      <c r="D16" s="4">
        <f t="shared" si="2"/>
        <v>23554.653485999999</v>
      </c>
      <c r="E16" s="4">
        <f t="shared" si="2"/>
        <v>11777.326743</v>
      </c>
      <c r="F16" s="4">
        <f t="shared" si="2"/>
        <v>5888.6633714999998</v>
      </c>
      <c r="G16" s="4">
        <f t="shared" si="2"/>
        <v>11777.326743</v>
      </c>
      <c r="H16" s="4">
        <f t="shared" si="2"/>
        <v>5888.6633714999998</v>
      </c>
      <c r="I16" s="4">
        <f t="shared" si="3"/>
        <v>100948.51493999999</v>
      </c>
      <c r="J16" s="4">
        <f t="shared" si="4"/>
        <v>235546.53486000001</v>
      </c>
    </row>
    <row r="17" spans="1:10" x14ac:dyDescent="0.3">
      <c r="A17" s="5" t="s">
        <v>20</v>
      </c>
      <c r="B17" s="4">
        <f t="shared" si="1"/>
        <v>41220.6436005</v>
      </c>
      <c r="C17" s="4">
        <f t="shared" si="2"/>
        <v>82441.287200999999</v>
      </c>
      <c r="D17" s="4">
        <f t="shared" si="2"/>
        <v>16488.257440199999</v>
      </c>
      <c r="E17" s="4">
        <f t="shared" si="2"/>
        <v>8244.1287200999996</v>
      </c>
      <c r="F17" s="4">
        <f t="shared" si="2"/>
        <v>4122.0643600499998</v>
      </c>
      <c r="G17" s="4">
        <f t="shared" si="2"/>
        <v>8244.1287200999996</v>
      </c>
      <c r="H17" s="4">
        <f t="shared" si="2"/>
        <v>4122.0643600499998</v>
      </c>
      <c r="I17" s="4">
        <f t="shared" si="3"/>
        <v>70663.960458000016</v>
      </c>
      <c r="J17" s="4">
        <f t="shared" si="4"/>
        <v>164882.574402</v>
      </c>
    </row>
    <row r="18" spans="1:10" x14ac:dyDescent="0.3">
      <c r="A18" s="5" t="s">
        <v>21</v>
      </c>
      <c r="B18" s="4">
        <f t="shared" si="1"/>
        <v>28854.450520350001</v>
      </c>
      <c r="C18" s="4">
        <f t="shared" si="2"/>
        <v>57708.901040700002</v>
      </c>
      <c r="D18" s="4">
        <f t="shared" si="2"/>
        <v>11541.78020814</v>
      </c>
      <c r="E18" s="4">
        <f t="shared" si="2"/>
        <v>5770.8901040700002</v>
      </c>
      <c r="F18" s="4">
        <f t="shared" si="2"/>
        <v>2885.4450520350001</v>
      </c>
      <c r="G18" s="4">
        <f t="shared" si="2"/>
        <v>5770.8901040700002</v>
      </c>
      <c r="H18" s="4">
        <f t="shared" si="2"/>
        <v>2885.4450520350001</v>
      </c>
      <c r="I18" s="4">
        <f t="shared" si="3"/>
        <v>49464.772320600001</v>
      </c>
      <c r="J18" s="4">
        <f t="shared" si="4"/>
        <v>115417.8020814</v>
      </c>
    </row>
    <row r="19" spans="1:10" x14ac:dyDescent="0.3">
      <c r="A19" s="5" t="s">
        <v>22</v>
      </c>
      <c r="B19" s="4">
        <f t="shared" si="1"/>
        <v>20198.115364245001</v>
      </c>
      <c r="C19" s="4">
        <f t="shared" si="2"/>
        <v>40396.230728490002</v>
      </c>
      <c r="D19" s="4">
        <f t="shared" si="2"/>
        <v>8079.246145698</v>
      </c>
      <c r="E19" s="4">
        <f t="shared" si="2"/>
        <v>4039.623072849</v>
      </c>
      <c r="F19" s="4">
        <f t="shared" si="2"/>
        <v>2019.8115364245</v>
      </c>
      <c r="G19" s="4">
        <f t="shared" si="2"/>
        <v>4039.623072849</v>
      </c>
      <c r="H19" s="4">
        <f t="shared" si="2"/>
        <v>2019.8115364245</v>
      </c>
      <c r="I19" s="4">
        <f t="shared" si="3"/>
        <v>34625.340624420001</v>
      </c>
      <c r="J19" s="4">
        <f t="shared" si="4"/>
        <v>80792.461456980003</v>
      </c>
    </row>
    <row r="20" spans="1:10" x14ac:dyDescent="0.3">
      <c r="A20" s="5" t="s">
        <v>23</v>
      </c>
      <c r="B20" s="4">
        <f t="shared" si="1"/>
        <v>14138.680754971501</v>
      </c>
      <c r="C20" s="4">
        <f t="shared" si="2"/>
        <v>28277.361509943003</v>
      </c>
      <c r="D20" s="4">
        <f t="shared" si="2"/>
        <v>5655.4723019886005</v>
      </c>
      <c r="E20" s="4">
        <f t="shared" si="2"/>
        <v>2827.7361509943003</v>
      </c>
      <c r="F20" s="4">
        <f t="shared" si="2"/>
        <v>1413.8680754971501</v>
      </c>
      <c r="G20" s="4">
        <f t="shared" si="2"/>
        <v>2827.7361509943003</v>
      </c>
      <c r="H20" s="4">
        <f t="shared" si="2"/>
        <v>1413.8680754971501</v>
      </c>
      <c r="I20" s="4">
        <f t="shared" si="3"/>
        <v>24237.738437094005</v>
      </c>
      <c r="J20" s="4">
        <f t="shared" si="4"/>
        <v>56554.723019886005</v>
      </c>
    </row>
    <row r="21" spans="1:10" x14ac:dyDescent="0.3">
      <c r="A21" s="5" t="s">
        <v>24</v>
      </c>
      <c r="B21" s="4">
        <f t="shared" si="1"/>
        <v>9897.0765284800509</v>
      </c>
      <c r="C21" s="4">
        <f t="shared" si="2"/>
        <v>19794.153056960102</v>
      </c>
      <c r="D21" s="4">
        <f t="shared" si="2"/>
        <v>3958.8306113920207</v>
      </c>
      <c r="E21" s="4">
        <f t="shared" si="2"/>
        <v>1979.4153056960104</v>
      </c>
      <c r="F21" s="4">
        <f t="shared" si="2"/>
        <v>989.70765284800518</v>
      </c>
      <c r="G21" s="4">
        <f t="shared" si="2"/>
        <v>1979.4153056960104</v>
      </c>
      <c r="H21" s="4">
        <f t="shared" si="2"/>
        <v>989.70765284800518</v>
      </c>
      <c r="I21" s="4">
        <f t="shared" si="3"/>
        <v>16966.416905965802</v>
      </c>
      <c r="J21" s="4">
        <f t="shared" si="4"/>
        <v>39588.306113920204</v>
      </c>
    </row>
    <row r="22" spans="1:10" x14ac:dyDescent="0.3">
      <c r="A22" s="5" t="s">
        <v>25</v>
      </c>
      <c r="B22" s="4">
        <f t="shared" si="1"/>
        <v>6927.9535699360358</v>
      </c>
      <c r="C22" s="4">
        <f t="shared" si="1"/>
        <v>13855.907139872072</v>
      </c>
      <c r="D22" s="4">
        <f t="shared" si="1"/>
        <v>2771.1814279744149</v>
      </c>
      <c r="E22" s="4">
        <f t="shared" si="1"/>
        <v>1385.5907139872074</v>
      </c>
      <c r="F22" s="4">
        <f t="shared" si="1"/>
        <v>692.79535699360372</v>
      </c>
      <c r="G22" s="4">
        <f t="shared" si="1"/>
        <v>1385.5907139872074</v>
      </c>
      <c r="H22" s="4">
        <f t="shared" si="1"/>
        <v>692.79535699360372</v>
      </c>
      <c r="I22" s="4">
        <f t="shared" si="3"/>
        <v>11876.49183417606</v>
      </c>
      <c r="J22" s="4">
        <f t="shared" si="4"/>
        <v>27711.814279744143</v>
      </c>
    </row>
    <row r="23" spans="1:10" x14ac:dyDescent="0.3">
      <c r="A23" s="5" t="s">
        <v>26</v>
      </c>
      <c r="B23" s="4">
        <f t="shared" si="1"/>
        <v>4849.5674989552253</v>
      </c>
      <c r="C23" s="4">
        <f t="shared" si="1"/>
        <v>9699.1349979104507</v>
      </c>
      <c r="D23" s="4">
        <f t="shared" si="1"/>
        <v>1939.8269995820906</v>
      </c>
      <c r="E23" s="4">
        <f t="shared" si="1"/>
        <v>969.9134997910453</v>
      </c>
      <c r="F23" s="4">
        <f t="shared" si="1"/>
        <v>484.95674989552265</v>
      </c>
      <c r="G23" s="4">
        <f t="shared" si="1"/>
        <v>969.9134997910453</v>
      </c>
      <c r="H23" s="4">
        <f t="shared" si="1"/>
        <v>484.95674989552265</v>
      </c>
      <c r="I23" s="4">
        <f t="shared" si="3"/>
        <v>8313.5442839232419</v>
      </c>
      <c r="J23" s="4">
        <f t="shared" si="4"/>
        <v>19398.269995820901</v>
      </c>
    </row>
    <row r="24" spans="1:10" x14ac:dyDescent="0.3">
      <c r="A24" s="5" t="s">
        <v>27</v>
      </c>
      <c r="B24" s="4">
        <f t="shared" si="1"/>
        <v>3394.6972492686577</v>
      </c>
      <c r="C24" s="4">
        <f t="shared" si="1"/>
        <v>6789.3944985373155</v>
      </c>
      <c r="D24" s="4">
        <f t="shared" si="1"/>
        <v>1357.8788997074635</v>
      </c>
      <c r="E24" s="4">
        <f t="shared" si="1"/>
        <v>678.93944985373173</v>
      </c>
      <c r="F24" s="4">
        <f t="shared" si="1"/>
        <v>339.46972492686587</v>
      </c>
      <c r="G24" s="4">
        <f t="shared" si="1"/>
        <v>678.93944985373173</v>
      </c>
      <c r="H24" s="4">
        <f t="shared" si="1"/>
        <v>339.46972492686587</v>
      </c>
      <c r="I24" s="4">
        <f t="shared" si="3"/>
        <v>5819.4809987462704</v>
      </c>
      <c r="J24" s="4">
        <f t="shared" si="4"/>
        <v>13578.788997074631</v>
      </c>
    </row>
    <row r="25" spans="1:10" x14ac:dyDescent="0.3">
      <c r="A25" s="5" t="s">
        <v>28</v>
      </c>
      <c r="B25" s="4">
        <f t="shared" si="1"/>
        <v>2376.2880744880604</v>
      </c>
      <c r="C25" s="4">
        <f t="shared" si="1"/>
        <v>4752.5761489761207</v>
      </c>
      <c r="D25" s="4">
        <f t="shared" si="1"/>
        <v>950.51522979522451</v>
      </c>
      <c r="E25" s="4">
        <f t="shared" si="1"/>
        <v>475.25761489761226</v>
      </c>
      <c r="F25" s="4">
        <f t="shared" si="1"/>
        <v>237.62880744880613</v>
      </c>
      <c r="G25" s="4">
        <f t="shared" si="1"/>
        <v>475.25761489761226</v>
      </c>
      <c r="H25" s="4">
        <f t="shared" si="1"/>
        <v>237.62880744880613</v>
      </c>
      <c r="I25" s="4">
        <f t="shared" si="3"/>
        <v>4073.6366991223895</v>
      </c>
      <c r="J25" s="4">
        <f t="shared" si="4"/>
        <v>9505.1522979522415</v>
      </c>
    </row>
    <row r="26" spans="1:10" x14ac:dyDescent="0.3">
      <c r="A26" t="s">
        <v>54</v>
      </c>
      <c r="J26" s="3"/>
    </row>
    <row r="27" spans="1:10" x14ac:dyDescent="0.3">
      <c r="A27" s="30" t="s">
        <v>83</v>
      </c>
    </row>
  </sheetData>
  <mergeCells count="2">
    <mergeCell ref="B1:D1"/>
    <mergeCell ref="E1:H1"/>
  </mergeCells>
  <phoneticPr fontId="2" type="noConversion"/>
  <pageMargins left="0.7" right="0.7" top="0.75" bottom="0.75" header="0.3" footer="0.3"/>
  <pageSetup orientation="portrait" horizontalDpi="1200" verticalDpi="1200" r:id="rId1"/>
  <ignoredErrors>
    <ignoredError sqref="I6:I10 I11:I13 I16:I2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9795-1265-4FD7-98BE-E42B11DEB80C}">
  <sheetPr codeName="Sheet3"/>
  <dimension ref="A1:J34"/>
  <sheetViews>
    <sheetView topLeftCell="A2" workbookViewId="0">
      <selection activeCell="I12" sqref="I12"/>
    </sheetView>
  </sheetViews>
  <sheetFormatPr defaultRowHeight="14.4" x14ac:dyDescent="0.3"/>
  <cols>
    <col min="1" max="1" width="19.33203125" bestFit="1" customWidth="1"/>
    <col min="2" max="2" width="21.109375" customWidth="1"/>
    <col min="3" max="3" width="18.21875" customWidth="1"/>
    <col min="4" max="4" width="17.44140625" customWidth="1"/>
    <col min="5" max="5" width="13.6640625" bestFit="1" customWidth="1"/>
    <col min="6" max="6" width="13.6640625" customWidth="1"/>
    <col min="7" max="7" width="23" customWidth="1"/>
    <col min="8" max="8" width="18.77734375" bestFit="1" customWidth="1"/>
    <col min="9" max="9" width="23.109375" bestFit="1" customWidth="1"/>
    <col min="10" max="10" width="24.44140625" bestFit="1" customWidth="1"/>
    <col min="11" max="11" width="23.6640625" bestFit="1" customWidth="1"/>
  </cols>
  <sheetData>
    <row r="1" spans="1:10" x14ac:dyDescent="0.3">
      <c r="A1" s="47" t="s">
        <v>55</v>
      </c>
      <c r="B1" s="47"/>
      <c r="C1" s="47"/>
      <c r="D1" s="47"/>
      <c r="E1" s="47"/>
      <c r="G1" s="48" t="s">
        <v>81</v>
      </c>
      <c r="H1" s="48"/>
      <c r="I1" s="48"/>
    </row>
    <row r="2" spans="1:10" x14ac:dyDescent="0.3">
      <c r="A2" t="s">
        <v>64</v>
      </c>
      <c r="B2" t="s">
        <v>4</v>
      </c>
      <c r="C2" t="s">
        <v>5</v>
      </c>
      <c r="D2" t="s">
        <v>70</v>
      </c>
      <c r="E2" t="s">
        <v>46</v>
      </c>
      <c r="G2" t="s">
        <v>76</v>
      </c>
      <c r="H2" t="s">
        <v>65</v>
      </c>
      <c r="I2" t="s">
        <v>82</v>
      </c>
    </row>
    <row r="3" spans="1:10" x14ac:dyDescent="0.3">
      <c r="A3" t="s">
        <v>9</v>
      </c>
      <c r="B3" s="1">
        <f>SUM(Table4[Subscription Revenue])</f>
        <v>1500000</v>
      </c>
      <c r="C3" s="1"/>
      <c r="D3" s="1">
        <v>200000</v>
      </c>
      <c r="E3" s="1">
        <f>SUM(B3:D3)</f>
        <v>1700000</v>
      </c>
      <c r="F3" s="1"/>
      <c r="G3" t="s">
        <v>77</v>
      </c>
      <c r="H3" s="1">
        <v>100</v>
      </c>
      <c r="I3" s="1">
        <v>3000</v>
      </c>
      <c r="J3" s="34"/>
    </row>
    <row r="4" spans="1:10" x14ac:dyDescent="0.3">
      <c r="A4" t="s">
        <v>10</v>
      </c>
      <c r="B4" s="1">
        <f>B3+(0.07*B3)</f>
        <v>1605000</v>
      </c>
      <c r="C4" s="1">
        <v>300000</v>
      </c>
      <c r="D4" s="1">
        <f>D3+(0.025*D3)</f>
        <v>205000</v>
      </c>
      <c r="E4" s="1">
        <f t="shared" ref="E4:E22" si="0">SUM(B4:D4)</f>
        <v>2110000</v>
      </c>
      <c r="F4" s="1"/>
      <c r="G4" t="s">
        <v>78</v>
      </c>
      <c r="H4" s="1">
        <v>90</v>
      </c>
      <c r="I4" s="1">
        <v>4800</v>
      </c>
    </row>
    <row r="5" spans="1:10" x14ac:dyDescent="0.3">
      <c r="A5" t="s">
        <v>11</v>
      </c>
      <c r="B5" s="1">
        <f t="shared" ref="B5:B12" si="1">B4+(0.07*B4)</f>
        <v>1717350</v>
      </c>
      <c r="C5" s="1">
        <f>C4+(0.025*C4)</f>
        <v>307500</v>
      </c>
      <c r="D5" s="1">
        <f t="shared" ref="D5:D22" si="2">D4+(0.025*D4)</f>
        <v>210125</v>
      </c>
      <c r="E5" s="1">
        <f t="shared" si="0"/>
        <v>2234975</v>
      </c>
      <c r="F5" s="1"/>
      <c r="G5" t="s">
        <v>79</v>
      </c>
      <c r="H5" s="1">
        <v>80</v>
      </c>
      <c r="I5" s="1">
        <v>6000</v>
      </c>
    </row>
    <row r="6" spans="1:10" x14ac:dyDescent="0.3">
      <c r="A6" t="s">
        <v>12</v>
      </c>
      <c r="B6" s="1">
        <f t="shared" si="1"/>
        <v>1837564.5</v>
      </c>
      <c r="C6" s="1">
        <f t="shared" ref="C6:C22" si="3">C5+(0.025*C5)</f>
        <v>315187.5</v>
      </c>
      <c r="D6" s="1">
        <f t="shared" si="2"/>
        <v>215378.125</v>
      </c>
      <c r="E6" s="1">
        <f t="shared" si="0"/>
        <v>2368130.125</v>
      </c>
      <c r="F6" s="1"/>
      <c r="G6" t="s">
        <v>80</v>
      </c>
      <c r="H6" s="1">
        <v>60</v>
      </c>
      <c r="I6" s="1">
        <v>8000</v>
      </c>
    </row>
    <row r="7" spans="1:10" x14ac:dyDescent="0.3">
      <c r="A7" t="s">
        <v>13</v>
      </c>
      <c r="B7" s="1">
        <f t="shared" si="1"/>
        <v>1966194.0150000001</v>
      </c>
      <c r="C7" s="1">
        <f t="shared" si="3"/>
        <v>323067.1875</v>
      </c>
      <c r="D7" s="1">
        <f t="shared" si="2"/>
        <v>220762.578125</v>
      </c>
      <c r="E7" s="1">
        <f t="shared" si="0"/>
        <v>2510023.7806250001</v>
      </c>
      <c r="F7" s="1"/>
    </row>
    <row r="8" spans="1:10" x14ac:dyDescent="0.3">
      <c r="A8" t="s">
        <v>14</v>
      </c>
      <c r="B8" s="1">
        <f t="shared" si="1"/>
        <v>2103827.5960500003</v>
      </c>
      <c r="C8" s="1">
        <f t="shared" si="3"/>
        <v>331143.8671875</v>
      </c>
      <c r="D8" s="1">
        <f t="shared" si="2"/>
        <v>226281.642578125</v>
      </c>
      <c r="E8" s="1">
        <f t="shared" si="0"/>
        <v>2661253.1058156253</v>
      </c>
      <c r="F8" s="1"/>
      <c r="G8" s="30" t="s">
        <v>61</v>
      </c>
    </row>
    <row r="9" spans="1:10" x14ac:dyDescent="0.3">
      <c r="A9" t="s">
        <v>15</v>
      </c>
      <c r="B9" s="1">
        <f t="shared" si="1"/>
        <v>2251095.5277735004</v>
      </c>
      <c r="C9" s="1">
        <f t="shared" si="3"/>
        <v>339422.4638671875</v>
      </c>
      <c r="D9" s="1">
        <f t="shared" si="2"/>
        <v>231938.68364257814</v>
      </c>
      <c r="E9" s="1">
        <f t="shared" si="0"/>
        <v>2822456.6752832662</v>
      </c>
      <c r="F9" s="1"/>
      <c r="G9" s="1" t="s">
        <v>63</v>
      </c>
      <c r="H9" t="s">
        <v>60</v>
      </c>
      <c r="I9" t="s">
        <v>75</v>
      </c>
      <c r="J9" t="s">
        <v>74</v>
      </c>
    </row>
    <row r="10" spans="1:10" x14ac:dyDescent="0.3">
      <c r="A10" t="s">
        <v>16</v>
      </c>
      <c r="B10" s="1">
        <f t="shared" si="1"/>
        <v>2408672.2147176457</v>
      </c>
      <c r="C10" s="1">
        <f t="shared" si="3"/>
        <v>347908.02546386718</v>
      </c>
      <c r="D10" s="1">
        <f t="shared" si="2"/>
        <v>237737.1507336426</v>
      </c>
      <c r="E10" s="1">
        <f t="shared" si="0"/>
        <v>2994317.3909151554</v>
      </c>
      <c r="F10" s="1"/>
      <c r="G10" s="35">
        <v>15</v>
      </c>
      <c r="H10" s="32">
        <v>1000</v>
      </c>
      <c r="I10" s="1">
        <f>H5*H10*G10</f>
        <v>1200000</v>
      </c>
      <c r="J10" s="2">
        <f>Table4[[#This Row],[Number of Clients]]*I5</f>
        <v>90000</v>
      </c>
    </row>
    <row r="11" spans="1:10" x14ac:dyDescent="0.3">
      <c r="A11" t="s">
        <v>17</v>
      </c>
      <c r="B11" s="1">
        <f t="shared" si="1"/>
        <v>2577279.2697478808</v>
      </c>
      <c r="C11" s="1">
        <f t="shared" si="3"/>
        <v>356605.72610046383</v>
      </c>
      <c r="D11" s="1">
        <f t="shared" si="2"/>
        <v>243680.57950198365</v>
      </c>
      <c r="E11" s="1">
        <f t="shared" si="0"/>
        <v>3177565.5753503283</v>
      </c>
      <c r="F11" s="1"/>
      <c r="G11" s="35">
        <v>25</v>
      </c>
      <c r="H11" s="33">
        <v>100</v>
      </c>
      <c r="I11" s="1">
        <f>H11*G11*H4</f>
        <v>225000</v>
      </c>
      <c r="J11" s="2">
        <f>Table4[[#This Row],[Number of Clients]]*I4</f>
        <v>120000</v>
      </c>
    </row>
    <row r="12" spans="1:10" x14ac:dyDescent="0.3">
      <c r="A12" t="s">
        <v>18</v>
      </c>
      <c r="B12" s="1">
        <f t="shared" si="1"/>
        <v>2757688.8186302325</v>
      </c>
      <c r="C12" s="1">
        <f t="shared" si="3"/>
        <v>365520.86925297545</v>
      </c>
      <c r="D12" s="1">
        <f t="shared" si="2"/>
        <v>249772.59398953326</v>
      </c>
      <c r="E12" s="1">
        <f t="shared" si="0"/>
        <v>3372982.2818727414</v>
      </c>
      <c r="F12" s="1"/>
      <c r="G12" s="35">
        <v>30</v>
      </c>
      <c r="H12" s="33">
        <v>25</v>
      </c>
      <c r="I12" s="1">
        <f>G12*H12*H3</f>
        <v>75000</v>
      </c>
      <c r="J12" s="2">
        <f>Table4[[#This Row],[Number of Clients]]*I3</f>
        <v>90000</v>
      </c>
    </row>
    <row r="13" spans="1:10" x14ac:dyDescent="0.3">
      <c r="A13" t="s">
        <v>19</v>
      </c>
      <c r="B13" s="1">
        <f>B12+(0.05*B12)</f>
        <v>2895573.2595617441</v>
      </c>
      <c r="C13" s="1">
        <f t="shared" si="3"/>
        <v>374658.89098429983</v>
      </c>
      <c r="D13" s="1">
        <f t="shared" si="2"/>
        <v>256016.90883927158</v>
      </c>
      <c r="E13" s="1">
        <f t="shared" si="0"/>
        <v>3526249.0593853155</v>
      </c>
      <c r="F13" s="1"/>
    </row>
    <row r="14" spans="1:10" x14ac:dyDescent="0.3">
      <c r="A14" t="s">
        <v>20</v>
      </c>
      <c r="B14" s="1">
        <f t="shared" ref="B14:B22" si="4">B13+(0.05*B13)</f>
        <v>3040351.9225398311</v>
      </c>
      <c r="C14" s="1">
        <f t="shared" si="3"/>
        <v>384025.36325890734</v>
      </c>
      <c r="D14" s="1">
        <f t="shared" si="2"/>
        <v>262417.33156025334</v>
      </c>
      <c r="E14" s="1">
        <f t="shared" si="0"/>
        <v>3686794.6173589919</v>
      </c>
      <c r="F14" s="1"/>
      <c r="G14" t="s">
        <v>62</v>
      </c>
    </row>
    <row r="15" spans="1:10" x14ac:dyDescent="0.3">
      <c r="A15" t="s">
        <v>21</v>
      </c>
      <c r="B15" s="1">
        <f t="shared" si="4"/>
        <v>3192369.5186668225</v>
      </c>
      <c r="C15" s="1">
        <f t="shared" si="3"/>
        <v>393625.99734038004</v>
      </c>
      <c r="D15" s="1">
        <f t="shared" si="2"/>
        <v>268977.76484925969</v>
      </c>
      <c r="E15" s="1">
        <f t="shared" si="0"/>
        <v>3854973.2808564622</v>
      </c>
      <c r="F15" s="1"/>
      <c r="G15" t="s">
        <v>67</v>
      </c>
    </row>
    <row r="16" spans="1:10" x14ac:dyDescent="0.3">
      <c r="A16" t="s">
        <v>22</v>
      </c>
      <c r="B16" s="1">
        <f t="shared" si="4"/>
        <v>3351987.9946001638</v>
      </c>
      <c r="C16" s="1">
        <f t="shared" si="3"/>
        <v>403466.64727388957</v>
      </c>
      <c r="D16" s="1">
        <f t="shared" si="2"/>
        <v>275702.20897049119</v>
      </c>
      <c r="E16" s="1">
        <f t="shared" si="0"/>
        <v>4031156.8508445448</v>
      </c>
      <c r="F16" s="1"/>
      <c r="G16" t="s">
        <v>68</v>
      </c>
    </row>
    <row r="17" spans="1:8" x14ac:dyDescent="0.3">
      <c r="A17" t="s">
        <v>23</v>
      </c>
      <c r="B17" s="1">
        <f t="shared" si="4"/>
        <v>3519587.3943301719</v>
      </c>
      <c r="C17" s="1">
        <f t="shared" si="3"/>
        <v>413553.31345573679</v>
      </c>
      <c r="D17" s="1">
        <f t="shared" si="2"/>
        <v>282594.76419475349</v>
      </c>
      <c r="E17" s="1">
        <f t="shared" si="0"/>
        <v>4215735.4719806621</v>
      </c>
      <c r="F17" s="1"/>
      <c r="G17" t="s">
        <v>69</v>
      </c>
    </row>
    <row r="18" spans="1:8" x14ac:dyDescent="0.3">
      <c r="A18" t="s">
        <v>24</v>
      </c>
      <c r="B18" s="1">
        <f t="shared" si="4"/>
        <v>3695566.7640466806</v>
      </c>
      <c r="C18" s="1">
        <f t="shared" si="3"/>
        <v>423892.14629213023</v>
      </c>
      <c r="D18" s="1">
        <f t="shared" si="2"/>
        <v>289659.63329962234</v>
      </c>
      <c r="E18" s="1">
        <f t="shared" si="0"/>
        <v>4409118.5436384333</v>
      </c>
      <c r="F18" s="1"/>
    </row>
    <row r="19" spans="1:8" x14ac:dyDescent="0.3">
      <c r="A19" t="s">
        <v>25</v>
      </c>
      <c r="B19" s="1">
        <f t="shared" si="4"/>
        <v>3880345.1022490147</v>
      </c>
      <c r="C19" s="1">
        <f t="shared" si="3"/>
        <v>434489.4499494335</v>
      </c>
      <c r="D19" s="1">
        <f t="shared" si="2"/>
        <v>296901.12413211289</v>
      </c>
      <c r="E19" s="1">
        <f t="shared" si="0"/>
        <v>4611735.6763305608</v>
      </c>
      <c r="F19" s="1"/>
    </row>
    <row r="20" spans="1:8" x14ac:dyDescent="0.3">
      <c r="A20" t="s">
        <v>26</v>
      </c>
      <c r="B20" s="1">
        <f t="shared" si="4"/>
        <v>4074362.3573614652</v>
      </c>
      <c r="C20" s="1">
        <f t="shared" si="3"/>
        <v>445351.68619816937</v>
      </c>
      <c r="D20" s="1">
        <f t="shared" si="2"/>
        <v>304323.65223541571</v>
      </c>
      <c r="E20" s="1">
        <f t="shared" si="0"/>
        <v>4824037.6957950508</v>
      </c>
      <c r="F20" s="1"/>
      <c r="G20" s="30" t="s">
        <v>71</v>
      </c>
    </row>
    <row r="21" spans="1:8" x14ac:dyDescent="0.3">
      <c r="A21" t="s">
        <v>27</v>
      </c>
      <c r="B21" s="1">
        <f t="shared" si="4"/>
        <v>4278080.475229539</v>
      </c>
      <c r="C21" s="1">
        <f t="shared" si="3"/>
        <v>456485.47835312359</v>
      </c>
      <c r="D21" s="1">
        <f t="shared" si="2"/>
        <v>311931.74354130111</v>
      </c>
      <c r="E21" s="1">
        <f t="shared" si="0"/>
        <v>5046497.6971239634</v>
      </c>
      <c r="F21" s="1"/>
      <c r="G21" s="30" t="s">
        <v>72</v>
      </c>
    </row>
    <row r="22" spans="1:8" x14ac:dyDescent="0.3">
      <c r="A22" t="s">
        <v>28</v>
      </c>
      <c r="B22" s="1">
        <f t="shared" si="4"/>
        <v>4491984.4989910163</v>
      </c>
      <c r="C22" s="1">
        <f t="shared" si="3"/>
        <v>467897.61531195167</v>
      </c>
      <c r="D22" s="1">
        <f t="shared" si="2"/>
        <v>319730.03712983365</v>
      </c>
      <c r="E22" s="1">
        <f t="shared" si="0"/>
        <v>5279612.151432801</v>
      </c>
      <c r="F22" s="1"/>
      <c r="G22" s="30" t="s">
        <v>73</v>
      </c>
    </row>
    <row r="23" spans="1:8" x14ac:dyDescent="0.3">
      <c r="B23" s="15"/>
      <c r="C23" s="15"/>
      <c r="D23" s="15"/>
    </row>
    <row r="31" spans="1:8" x14ac:dyDescent="0.3">
      <c r="G31" t="s">
        <v>58</v>
      </c>
      <c r="H31">
        <f>N5*2</f>
        <v>0</v>
      </c>
    </row>
    <row r="32" spans="1:8" x14ac:dyDescent="0.3">
      <c r="G32" t="s">
        <v>57</v>
      </c>
      <c r="H32">
        <f>N5</f>
        <v>0</v>
      </c>
    </row>
    <row r="33" spans="7:8" x14ac:dyDescent="0.3">
      <c r="G33" t="s">
        <v>59</v>
      </c>
      <c r="H33">
        <v>300000</v>
      </c>
    </row>
    <row r="34" spans="7:8" x14ac:dyDescent="0.3">
      <c r="H34">
        <f>SUM(H31:H33)</f>
        <v>300000</v>
      </c>
    </row>
  </sheetData>
  <mergeCells count="2">
    <mergeCell ref="A1:E1"/>
    <mergeCell ref="G1:I1"/>
  </mergeCells>
  <phoneticPr fontId="2" type="noConversion"/>
  <pageMargins left="0.7" right="0.7" top="0.75" bottom="0.75" header="0.3" footer="0.3"/>
  <pageSetup orientation="portrait" horizontalDpi="1200" verticalDpi="1200" r:id="rId1"/>
  <ignoredErrors>
    <ignoredError sqref="B3:B12 C4 D3 J10:J12" calculatedColumn="1"/>
  </ignoredErrors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Feasibilty Report</vt:lpstr>
      <vt:lpstr>CCA</vt:lpstr>
      <vt:lpstr>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Radhiga</dc:creator>
  <cp:lastModifiedBy>Jagdishbhai Parmar</cp:lastModifiedBy>
  <dcterms:created xsi:type="dcterms:W3CDTF">2023-06-18T21:42:30Z</dcterms:created>
  <dcterms:modified xsi:type="dcterms:W3CDTF">2023-09-28T04:07:06Z</dcterms:modified>
</cp:coreProperties>
</file>